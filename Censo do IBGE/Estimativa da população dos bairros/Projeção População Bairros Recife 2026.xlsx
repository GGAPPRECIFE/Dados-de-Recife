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 e Estimativas do IBGE" sheetId="1" r:id="rId4"/>
    <sheet state="visible" name="Métodos" sheetId="2" r:id="rId5"/>
    <sheet state="visible" name="Variacao Projeções IBGE" sheetId="3" r:id="rId6"/>
    <sheet state="visible" name="Proporção Constante" sheetId="4" r:id="rId7"/>
    <sheet state="visible" name="Taxa Crescimento" sheetId="5" r:id="rId8"/>
    <sheet state="visible" name="Shift-Share " sheetId="6" r:id="rId9"/>
  </sheets>
  <definedNames/>
  <calcPr/>
  <extLst>
    <ext uri="GoogleSheetsCustomDataVersion2">
      <go:sheetsCustomData xmlns:go="http://customooxmlschemas.google.com/" r:id="rId10" roundtripDataChecksum="MWIe2zSkMrdTzp5dqvTxI7QVYB66T+/VN9nXsBQmun8="/>
    </ext>
  </extLst>
</workbook>
</file>

<file path=xl/sharedStrings.xml><?xml version="1.0" encoding="utf-8"?>
<sst xmlns="http://schemas.openxmlformats.org/spreadsheetml/2006/main" count="552" uniqueCount="136">
  <si>
    <t>Ano</t>
  </si>
  <si>
    <t>População</t>
  </si>
  <si>
    <t>Tipo</t>
  </si>
  <si>
    <t>Variação</t>
  </si>
  <si>
    <t>Projeção do IBGE</t>
  </si>
  <si>
    <t>Censo 2010</t>
  </si>
  <si>
    <t>Censo 2022</t>
  </si>
  <si>
    <t>Projeção GGAPP/SEPLAN com base na variação anterior</t>
  </si>
  <si>
    <t>Código do Bairro</t>
  </si>
  <si>
    <t>Nome do Bairro</t>
  </si>
  <si>
    <t>População (2022)</t>
  </si>
  <si>
    <t>População (2010)</t>
  </si>
  <si>
    <t>Diferença</t>
  </si>
  <si>
    <t>Variação (%)</t>
  </si>
  <si>
    <t>PARTICIPACAO10</t>
  </si>
  <si>
    <t>PROJECAO10_PROP24</t>
  </si>
  <si>
    <t>PROJECAO10_PROP25</t>
  </si>
  <si>
    <t>Proporção da 
população do bairro</t>
  </si>
  <si>
    <t>Projeção proporcional
em 2024</t>
  </si>
  <si>
    <t>Projeção proporcional
em 2025</t>
  </si>
  <si>
    <t>Diferença
(2022-20224)</t>
  </si>
  <si>
    <t>Diferença
(2024-20225)</t>
  </si>
  <si>
    <t>Taxa de crescimento
anual</t>
  </si>
  <si>
    <t>Projeção para 2024
pela taxa de crescimento</t>
  </si>
  <si>
    <t>PROJECAO_2024.2</t>
  </si>
  <si>
    <t>Diferença
(2022-2024)</t>
  </si>
  <si>
    <t>Projeção para 2025
pela taxa de crescimento</t>
  </si>
  <si>
    <t>PROJECAO_2025.2</t>
  </si>
  <si>
    <t>Diferença
(2024-2025)</t>
  </si>
  <si>
    <t>Projeção para 2026
pela taxa de crescimento</t>
  </si>
  <si>
    <t>PROJECAO_2026.2</t>
  </si>
  <si>
    <t>Diferença
(2025-2026)</t>
  </si>
  <si>
    <t>Taxa de crescimento
global de Recife (GC)</t>
  </si>
  <si>
    <t>Taxa de crescimento
local dos bairros (GI)</t>
  </si>
  <si>
    <t>Decomposição</t>
  </si>
  <si>
    <t>Projeção do método
Shift-Share 2024</t>
  </si>
  <si>
    <t>Projeção do método
Shift-Share 2025</t>
  </si>
  <si>
    <t>Projeção do método
Shift-Share 2026</t>
  </si>
  <si>
    <t>PROJECAO_SHIFT_CORRIGIDA</t>
  </si>
  <si>
    <t>PEIXINHOS</t>
  </si>
  <si>
    <t>APIPUCOS</t>
  </si>
  <si>
    <t>CAJUEIRO</t>
  </si>
  <si>
    <t>COELHOS</t>
  </si>
  <si>
    <t>ZUMBI</t>
  </si>
  <si>
    <t>HIPODROMO</t>
  </si>
  <si>
    <t>BEBERIBE</t>
  </si>
  <si>
    <t>ESTANCIA</t>
  </si>
  <si>
    <t>MORRO DA CONCEICAO</t>
  </si>
  <si>
    <t>IPSEP</t>
  </si>
  <si>
    <t>ALTO JOSE BONIFACIO</t>
  </si>
  <si>
    <t>CACOTE</t>
  </si>
  <si>
    <t>NOVA DESCOBERTA</t>
  </si>
  <si>
    <t>JAQUEIRA</t>
  </si>
  <si>
    <t>PORTO DA MADEIRA</t>
  </si>
  <si>
    <t>SOLEDADE</t>
  </si>
  <si>
    <t>SANTANA</t>
  </si>
  <si>
    <t>MUSTARDINHA</t>
  </si>
  <si>
    <t>TOTO</t>
  </si>
  <si>
    <t>VASCO DA GAMA</t>
  </si>
  <si>
    <t>ALTO SANTA TEREZINHA</t>
  </si>
  <si>
    <t>AFLITOS</t>
  </si>
  <si>
    <t>AFOGADOS</t>
  </si>
  <si>
    <t>BONGI</t>
  </si>
  <si>
    <t>COQUEIRAL</t>
  </si>
  <si>
    <t>CORREGO DO JENIPAPO</t>
  </si>
  <si>
    <t>ARRUDA</t>
  </si>
  <si>
    <t>AREIAS</t>
  </si>
  <si>
    <t>AGUA FRIA</t>
  </si>
  <si>
    <t>IBURA</t>
  </si>
  <si>
    <t>MANGUEIRA</t>
  </si>
  <si>
    <t>ALTO DO MANDU</t>
  </si>
  <si>
    <t>SAN MARTIN</t>
  </si>
  <si>
    <t>BREJO DA GUABIRABA</t>
  </si>
  <si>
    <t>BRASILIA TEIMOSA</t>
  </si>
  <si>
    <t>BOMBA DO HEMETERIO</t>
  </si>
  <si>
    <t>PARNAMIRIM</t>
  </si>
  <si>
    <t>DERBY</t>
  </si>
  <si>
    <t>ALTO JOSE DO PINHO</t>
  </si>
  <si>
    <t>MANGABEIRA</t>
  </si>
  <si>
    <t>CORDEIRO</t>
  </si>
  <si>
    <t>CAMPINA DO BARRETO</t>
  </si>
  <si>
    <t>COHAB</t>
  </si>
  <si>
    <t>BREJO DE BEBERIBE</t>
  </si>
  <si>
    <t>CASA FORTE</t>
  </si>
  <si>
    <t>JARDIM SAO PAULO</t>
  </si>
  <si>
    <t>TAMARINEIRA</t>
  </si>
  <si>
    <t>LINHA DO TIRO</t>
  </si>
  <si>
    <t>DOIS UNIDOS</t>
  </si>
  <si>
    <t>FUNDAO</t>
  </si>
  <si>
    <t>BARRO</t>
  </si>
  <si>
    <t>GRACAS</t>
  </si>
  <si>
    <t>IPUTINGA</t>
  </si>
  <si>
    <t>ENGENHO DO MEIO</t>
  </si>
  <si>
    <t>ILHA JOANA BEZERRA</t>
  </si>
  <si>
    <t>TORROES</t>
  </si>
  <si>
    <t>SANTO AMARO</t>
  </si>
  <si>
    <t>PRADO</t>
  </si>
  <si>
    <t>JORDAO</t>
  </si>
  <si>
    <t>CAMPO GRANDE</t>
  </si>
  <si>
    <t>MACAXEIRA</t>
  </si>
  <si>
    <t>ILHA DO LEITE</t>
  </si>
  <si>
    <t>PINA</t>
  </si>
  <si>
    <t>VARZEA</t>
  </si>
  <si>
    <t>CURADO</t>
  </si>
  <si>
    <t>BOA VIAGEM</t>
  </si>
  <si>
    <t>ESPINHEIRO</t>
  </si>
  <si>
    <t>SAO JOSE</t>
  </si>
  <si>
    <t>BOA VISTA</t>
  </si>
  <si>
    <t>ILHA DO RETIRO</t>
  </si>
  <si>
    <t>IMBIRIBEIRA</t>
  </si>
  <si>
    <t>SITIO DOS PINTOS</t>
  </si>
  <si>
    <t>TEJIPIO</t>
  </si>
  <si>
    <t>CASA AMARELA</t>
  </si>
  <si>
    <t>MADALENA</t>
  </si>
  <si>
    <t>MONTEIRO</t>
  </si>
  <si>
    <t>TORRE</t>
  </si>
  <si>
    <t>PAISSANDU</t>
  </si>
  <si>
    <t>JIQUIA</t>
  </si>
  <si>
    <t>DOIS IRMAOS</t>
  </si>
  <si>
    <t>CABANGA</t>
  </si>
  <si>
    <t>PASSARINHO</t>
  </si>
  <si>
    <t>POCO</t>
  </si>
  <si>
    <t>PAU FERRO</t>
  </si>
  <si>
    <t>ENCRUZILHADA</t>
  </si>
  <si>
    <t>CAXANGA</t>
  </si>
  <si>
    <t>TORREAO</t>
  </si>
  <si>
    <t>PONTO DE PARADA</t>
  </si>
  <si>
    <t>SANCHO</t>
  </si>
  <si>
    <t>GUABIRABA</t>
  </si>
  <si>
    <t>ROSARINHO</t>
  </si>
  <si>
    <t>SANTO ANTONIO</t>
  </si>
  <si>
    <t>CIDADE UNIVERSITARIA</t>
  </si>
  <si>
    <t>RECIFE</t>
  </si>
  <si>
    <t>pop2010</t>
  </si>
  <si>
    <t>pop2022</t>
  </si>
  <si>
    <t>Taxa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</si>
</sst>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rgb="FFFFCE3C"/>
        <bgColor rgb="FFFFCE3C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25">
    <border/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0" xfId="0" applyAlignment="1" applyFont="1" applyNumberForma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10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readingOrder="0" shrinkToFit="0" wrapText="1"/>
    </xf>
    <xf borderId="2" fillId="4" fontId="4" numFmtId="0" xfId="0" applyAlignment="1" applyBorder="1" applyFont="1">
      <alignment horizontal="center" readingOrder="0" shrinkToFit="0" wrapText="1"/>
    </xf>
    <xf borderId="3" fillId="4" fontId="4" numFmtId="0" xfId="0" applyAlignment="1" applyBorder="1" applyFont="1">
      <alignment horizontal="center" readingOrder="0" shrinkToFit="0" wrapText="1"/>
    </xf>
    <xf borderId="4" fillId="5" fontId="4" numFmtId="0" xfId="0" applyAlignment="1" applyBorder="1" applyFill="1" applyFont="1">
      <alignment horizontal="center" shrinkToFit="0" wrapText="1"/>
    </xf>
    <xf borderId="5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 readingOrder="0" shrinkToFit="0" wrapText="1"/>
    </xf>
    <xf borderId="5" fillId="5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7" fillId="6" fontId="4" numFmtId="0" xfId="0" applyAlignment="1" applyBorder="1" applyFill="1" applyFont="1">
      <alignment horizontal="center" readingOrder="0" shrinkToFit="0" wrapText="1"/>
    </xf>
    <xf borderId="4" fillId="6" fontId="4" numFmtId="0" xfId="0" applyAlignment="1" applyBorder="1" applyFont="1">
      <alignment horizontal="center" readingOrder="0" shrinkToFit="0" wrapText="1"/>
    </xf>
    <xf borderId="8" fillId="6" fontId="4" numFmtId="0" xfId="0" applyAlignment="1" applyBorder="1" applyFont="1">
      <alignment horizontal="center" shrinkToFit="0" wrapText="1"/>
    </xf>
    <xf borderId="9" fillId="6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9" fillId="4" fontId="4" numFmtId="0" xfId="0" applyAlignment="1" applyBorder="1" applyFont="1">
      <alignment horizontal="center"/>
    </xf>
    <xf borderId="10" fillId="0" fontId="5" numFmtId="0" xfId="0" applyAlignment="1" applyBorder="1" applyFont="1">
      <alignment horizontal="center" shrinkToFit="0" wrapText="1"/>
    </xf>
    <xf borderId="11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2" fillId="0" fontId="5" numFmtId="10" xfId="0" applyAlignment="1" applyBorder="1" applyFont="1" applyNumberFormat="1">
      <alignment horizontal="center"/>
    </xf>
    <xf borderId="13" fillId="0" fontId="5" numFmtId="164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13" fillId="0" fontId="5" numFmtId="10" xfId="0" applyAlignment="1" applyBorder="1" applyFont="1" applyNumberFormat="1">
      <alignment horizontal="center"/>
    </xf>
    <xf borderId="12" fillId="0" fontId="5" numFmtId="1" xfId="0" applyAlignment="1" applyBorder="1" applyFont="1" applyNumberFormat="1">
      <alignment horizontal="center"/>
    </xf>
    <xf borderId="13" fillId="0" fontId="5" numFmtId="1" xfId="0" applyAlignment="1" applyBorder="1" applyFont="1" applyNumberFormat="1">
      <alignment horizontal="center"/>
    </xf>
    <xf borderId="1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4" fillId="0" fontId="5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horizontal="center" shrinkToFit="0" wrapText="1"/>
    </xf>
    <xf borderId="15" fillId="0" fontId="6" numFmtId="0" xfId="0" applyAlignment="1" applyBorder="1" applyFont="1">
      <alignment horizontal="center" shrinkToFit="0" wrapText="1"/>
    </xf>
    <xf borderId="16" fillId="0" fontId="5" numFmtId="0" xfId="0" applyAlignment="1" applyBorder="1" applyFont="1">
      <alignment horizontal="center" shrinkToFit="0" wrapText="1"/>
    </xf>
    <xf borderId="17" fillId="0" fontId="5" numFmtId="0" xfId="0" applyAlignment="1" applyBorder="1" applyFont="1">
      <alignment horizontal="center" shrinkToFit="0" wrapText="1"/>
    </xf>
    <xf borderId="17" fillId="0" fontId="5" numFmtId="0" xfId="0" applyAlignment="1" applyBorder="1" applyFont="1">
      <alignment horizontal="center" readingOrder="0" shrinkToFit="0" wrapText="1"/>
    </xf>
    <xf borderId="18" fillId="0" fontId="5" numFmtId="0" xfId="0" applyAlignment="1" applyBorder="1" applyFont="1">
      <alignment horizontal="center" shrinkToFit="0" wrapText="1"/>
    </xf>
    <xf borderId="19" fillId="0" fontId="5" numFmtId="10" xfId="0" applyAlignment="1" applyBorder="1" applyFont="1" applyNumberFormat="1">
      <alignment horizontal="center"/>
    </xf>
    <xf borderId="20" fillId="0" fontId="5" numFmtId="164" xfId="0" applyAlignment="1" applyBorder="1" applyFont="1" applyNumberFormat="1">
      <alignment horizontal="center"/>
    </xf>
    <xf borderId="18" fillId="0" fontId="5" numFmtId="1" xfId="0" applyAlignment="1" applyBorder="1" applyFont="1" applyNumberFormat="1">
      <alignment horizontal="center"/>
    </xf>
    <xf borderId="20" fillId="0" fontId="5" numFmtId="10" xfId="0" applyAlignment="1" applyBorder="1" applyFont="1" applyNumberFormat="1">
      <alignment horizontal="center"/>
    </xf>
    <xf borderId="19" fillId="0" fontId="5" numFmtId="1" xfId="0" applyAlignment="1" applyBorder="1" applyFont="1" applyNumberFormat="1">
      <alignment horizontal="center"/>
    </xf>
    <xf borderId="20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1" fillId="4" fontId="4" numFmtId="1" xfId="0" applyAlignment="1" applyBorder="1" applyFont="1" applyNumberFormat="1">
      <alignment horizontal="center"/>
    </xf>
    <xf borderId="21" fillId="4" fontId="5" numFmtId="1" xfId="0" applyAlignment="1" applyBorder="1" applyFont="1" applyNumberFormat="1">
      <alignment horizontal="center"/>
    </xf>
    <xf borderId="4" fillId="4" fontId="5" numFmtId="1" xfId="0" applyAlignment="1" applyBorder="1" applyFont="1" applyNumberFormat="1">
      <alignment horizontal="center"/>
    </xf>
    <xf borderId="22" fillId="4" fontId="5" numFmtId="1" xfId="0" applyAlignment="1" applyBorder="1" applyFont="1" applyNumberFormat="1">
      <alignment horizontal="center"/>
    </xf>
    <xf borderId="4" fillId="4" fontId="4" numFmtId="1" xfId="0" applyAlignment="1" applyBorder="1" applyFont="1" applyNumberFormat="1">
      <alignment horizontal="center"/>
    </xf>
    <xf borderId="5" fillId="4" fontId="4" numFmtId="1" xfId="0" applyAlignment="1" applyBorder="1" applyFont="1" applyNumberFormat="1">
      <alignment horizontal="center"/>
    </xf>
    <xf borderId="22" fillId="7" fontId="5" numFmtId="1" xfId="0" applyAlignment="1" applyBorder="1" applyFill="1" applyFont="1" applyNumberFormat="1">
      <alignment horizontal="center"/>
    </xf>
    <xf borderId="5" fillId="4" fontId="5" numFmtId="1" xfId="0" applyAlignment="1" applyBorder="1" applyFont="1" applyNumberFormat="1">
      <alignment horizontal="center"/>
    </xf>
    <xf borderId="9" fillId="4" fontId="5" numFmtId="1" xfId="0" applyAlignment="1" applyBorder="1" applyFont="1" applyNumberFormat="1">
      <alignment horizontal="center"/>
    </xf>
    <xf borderId="0" fillId="4" fontId="4" numFmtId="0" xfId="0" applyAlignment="1" applyFont="1">
      <alignment horizontal="center" readingOrder="0" shrinkToFit="0" wrapText="1"/>
    </xf>
    <xf borderId="23" fillId="4" fontId="4" numFmtId="0" xfId="0" applyAlignment="1" applyBorder="1" applyFont="1">
      <alignment horizontal="center" readingOrder="0" shrinkToFit="0" wrapText="1"/>
    </xf>
    <xf borderId="21" fillId="8" fontId="4" numFmtId="0" xfId="0" applyAlignment="1" applyBorder="1" applyFill="1" applyFont="1">
      <alignment horizontal="center" readingOrder="0" shrinkToFit="0" wrapText="1"/>
    </xf>
    <xf borderId="21" fillId="4" fontId="4" numFmtId="0" xfId="0" applyAlignment="1" applyBorder="1" applyFont="1">
      <alignment horizontal="center" readingOrder="0" shrinkToFit="0" wrapText="1"/>
    </xf>
    <xf borderId="21" fillId="3" fontId="4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21" fillId="3" fontId="5" numFmtId="1" xfId="0" applyAlignment="1" applyBorder="1" applyFont="1" applyNumberFormat="1">
      <alignment horizontal="center"/>
    </xf>
    <xf borderId="21" fillId="9" fontId="4" numFmtId="0" xfId="0" applyAlignment="1" applyBorder="1" applyFill="1" applyFont="1">
      <alignment horizontal="center" readingOrder="0" shrinkToFit="0" wrapText="1"/>
    </xf>
    <xf borderId="24" fillId="4" fontId="4" numFmtId="0" xfId="0" applyAlignment="1" applyBorder="1" applyFont="1">
      <alignment horizontal="center" readingOrder="0" shrinkToFit="0" wrapText="1"/>
    </xf>
    <xf borderId="0" fillId="8" fontId="4" numFmtId="0" xfId="0" applyAlignment="1" applyFont="1">
      <alignment horizontal="center" readingOrder="0" shrinkToFit="0" wrapText="1"/>
    </xf>
    <xf borderId="23" fillId="8" fontId="4" numFmtId="0" xfId="0" applyAlignment="1" applyBorder="1" applyFont="1">
      <alignment horizontal="center" readingOrder="0" shrinkToFit="0" wrapText="1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0" fontId="3" numFmtId="0" xfId="0" applyFont="1"/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3" fontId="3" numFmtId="1" xfId="0" applyAlignment="1" applyFont="1" applyNumberFormat="1">
      <alignment horizontal="center"/>
    </xf>
    <xf borderId="0" fillId="3" fontId="3" numFmtId="1" xfId="0" applyAlignment="1" applyFont="1" applyNumberFormat="1">
      <alignment horizontal="center" readingOrder="0"/>
    </xf>
    <xf borderId="0" fillId="5" fontId="4" numFmtId="0" xfId="0" applyAlignment="1" applyFont="1">
      <alignment horizontal="center" shrinkToFit="0" wrapText="1"/>
    </xf>
    <xf borderId="0" fillId="5" fontId="4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0" fontId="5" numFmtId="10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4" fontId="5" numFmtId="1" xfId="0" applyAlignment="1" applyFont="1" applyNumberFormat="1">
      <alignment horizontal="center"/>
    </xf>
    <xf borderId="0" fillId="12" fontId="5" numFmtId="1" xfId="0" applyAlignment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57"/>
    <col customWidth="1" min="3" max="3" width="48.29"/>
    <col customWidth="1" min="4" max="4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2001.0</v>
      </c>
      <c r="B2" s="2">
        <v>1437190.0</v>
      </c>
      <c r="C2" s="2" t="s">
        <v>4</v>
      </c>
      <c r="D2" s="3">
        <v>0.0</v>
      </c>
    </row>
    <row r="3">
      <c r="A3" s="2">
        <v>2002.0</v>
      </c>
      <c r="B3" s="2">
        <v>1449135.0</v>
      </c>
      <c r="C3" s="2" t="s">
        <v>4</v>
      </c>
      <c r="D3" s="3">
        <v>0.008311358</v>
      </c>
    </row>
    <row r="4">
      <c r="A4" s="2">
        <v>2003.0</v>
      </c>
      <c r="B4" s="2">
        <v>1461320.0</v>
      </c>
      <c r="C4" s="2" t="s">
        <v>4</v>
      </c>
      <c r="D4" s="3">
        <v>0.008408464</v>
      </c>
    </row>
    <row r="5">
      <c r="A5" s="2">
        <v>2004.0</v>
      </c>
      <c r="B5" s="2">
        <v>1486869.0</v>
      </c>
      <c r="C5" s="2" t="s">
        <v>4</v>
      </c>
      <c r="D5" s="3">
        <v>0.017483508</v>
      </c>
    </row>
    <row r="6">
      <c r="A6" s="2">
        <v>2005.0</v>
      </c>
      <c r="B6" s="2">
        <v>1501008.0</v>
      </c>
      <c r="C6" s="2" t="s">
        <v>4</v>
      </c>
      <c r="D6" s="3">
        <v>0.009509244</v>
      </c>
    </row>
    <row r="7">
      <c r="A7" s="2">
        <v>2006.0</v>
      </c>
      <c r="B7" s="2">
        <v>1515052.0</v>
      </c>
      <c r="C7" s="2" t="s">
        <v>4</v>
      </c>
      <c r="D7" s="3">
        <v>0.009356379</v>
      </c>
    </row>
    <row r="8">
      <c r="A8" s="2">
        <v>2007.0</v>
      </c>
      <c r="B8" s="2">
        <v>1533580.0</v>
      </c>
      <c r="C8" s="2" t="s">
        <v>4</v>
      </c>
      <c r="D8" s="3">
        <v>0.012229283</v>
      </c>
    </row>
    <row r="9">
      <c r="A9" s="2">
        <v>2008.0</v>
      </c>
      <c r="B9" s="2">
        <v>1549983.0</v>
      </c>
      <c r="C9" s="2" t="s">
        <v>4</v>
      </c>
      <c r="D9" s="3">
        <v>0.010695888</v>
      </c>
    </row>
    <row r="10">
      <c r="A10" s="2">
        <v>2009.0</v>
      </c>
      <c r="B10" s="2">
        <v>1561659.0</v>
      </c>
      <c r="C10" s="2" t="s">
        <v>4</v>
      </c>
      <c r="D10" s="3">
        <v>0.007532986</v>
      </c>
    </row>
    <row r="11">
      <c r="A11" s="4">
        <v>2010.0</v>
      </c>
      <c r="B11" s="4">
        <v>1527510.0</v>
      </c>
      <c r="C11" s="4" t="s">
        <v>5</v>
      </c>
      <c r="D11" s="5">
        <v>-0.02186713</v>
      </c>
    </row>
    <row r="12">
      <c r="A12" s="2">
        <v>2011.0</v>
      </c>
      <c r="B12" s="2">
        <v>1546516.0</v>
      </c>
      <c r="C12" s="2" t="s">
        <v>4</v>
      </c>
      <c r="D12" s="3">
        <v>0.012442472</v>
      </c>
    </row>
    <row r="13">
      <c r="A13" s="2">
        <v>2012.0</v>
      </c>
      <c r="B13" s="2">
        <v>1555039.0</v>
      </c>
      <c r="C13" s="2" t="s">
        <v>4</v>
      </c>
      <c r="D13" s="3">
        <v>0.005511097</v>
      </c>
    </row>
    <row r="14">
      <c r="A14" s="2">
        <v>2013.0</v>
      </c>
      <c r="B14" s="2">
        <v>1599513.0</v>
      </c>
      <c r="C14" s="2" t="s">
        <v>4</v>
      </c>
      <c r="D14" s="3">
        <v>0.028599926</v>
      </c>
    </row>
    <row r="15">
      <c r="A15" s="2">
        <v>2014.0</v>
      </c>
      <c r="B15" s="2">
        <v>1608488.0</v>
      </c>
      <c r="C15" s="2" t="s">
        <v>4</v>
      </c>
      <c r="D15" s="3">
        <v>0.005611083</v>
      </c>
    </row>
    <row r="16">
      <c r="A16" s="2">
        <v>2015.0</v>
      </c>
      <c r="B16" s="2">
        <v>1617183.0</v>
      </c>
      <c r="C16" s="2" t="s">
        <v>4</v>
      </c>
      <c r="D16" s="3">
        <v>0.005405698</v>
      </c>
    </row>
    <row r="17">
      <c r="A17" s="2">
        <v>2016.0</v>
      </c>
      <c r="B17" s="2">
        <v>1625583.0</v>
      </c>
      <c r="C17" s="2" t="s">
        <v>4</v>
      </c>
      <c r="D17" s="3">
        <v>0.005194217</v>
      </c>
    </row>
    <row r="18">
      <c r="A18" s="2">
        <v>2017.0</v>
      </c>
      <c r="B18" s="2">
        <v>1633697.0</v>
      </c>
      <c r="C18" s="2" t="s">
        <v>4</v>
      </c>
      <c r="D18" s="3">
        <v>0.00499144</v>
      </c>
    </row>
    <row r="19">
      <c r="A19" s="2">
        <v>2018.0</v>
      </c>
      <c r="B19" s="2">
        <v>1637834.0</v>
      </c>
      <c r="C19" s="2" t="s">
        <v>4</v>
      </c>
      <c r="D19" s="3">
        <v>0.002532293</v>
      </c>
    </row>
    <row r="20">
      <c r="A20" s="2">
        <v>2019.0</v>
      </c>
      <c r="B20" s="2">
        <v>1645727.0</v>
      </c>
      <c r="C20" s="2" t="s">
        <v>4</v>
      </c>
      <c r="D20" s="3">
        <v>0.00481917</v>
      </c>
    </row>
    <row r="21">
      <c r="A21" s="2">
        <v>2020.0</v>
      </c>
      <c r="B21" s="2">
        <v>1653461.0</v>
      </c>
      <c r="C21" s="2" t="s">
        <v>4</v>
      </c>
      <c r="D21" s="3">
        <v>0.004699443</v>
      </c>
    </row>
    <row r="22">
      <c r="A22" s="2">
        <v>2021.0</v>
      </c>
      <c r="B22" s="2">
        <v>1661017.0</v>
      </c>
      <c r="C22" s="2" t="s">
        <v>4</v>
      </c>
      <c r="D22" s="3">
        <v>0.004569808</v>
      </c>
    </row>
    <row r="23">
      <c r="A23" s="4">
        <v>2022.0</v>
      </c>
      <c r="B23" s="4">
        <v>1488920.0</v>
      </c>
      <c r="C23" s="4" t="s">
        <v>6</v>
      </c>
      <c r="D23" s="5">
        <v>-0.103609415</v>
      </c>
    </row>
    <row r="24">
      <c r="A24" s="4">
        <v>2023.0</v>
      </c>
      <c r="B24" s="4">
        <v>1488920.0</v>
      </c>
      <c r="C24" s="4" t="s">
        <v>6</v>
      </c>
      <c r="D24" s="5">
        <v>0.0</v>
      </c>
    </row>
    <row r="25">
      <c r="A25" s="2">
        <v>2024.0</v>
      </c>
      <c r="B25" s="2">
        <v>1587707.0</v>
      </c>
      <c r="C25" s="2" t="s">
        <v>4</v>
      </c>
      <c r="D25" s="3">
        <v>0.066348091</v>
      </c>
    </row>
    <row r="26">
      <c r="A26" s="2">
        <v>2025.0</v>
      </c>
      <c r="B26" s="2">
        <v>1588376.0</v>
      </c>
      <c r="C26" s="2" t="s">
        <v>4</v>
      </c>
      <c r="D26" s="3">
        <v>4.21362E-4</v>
      </c>
    </row>
    <row r="27">
      <c r="A27" s="2">
        <v>2026.0</v>
      </c>
      <c r="B27" s="2">
        <v>1589045.0</v>
      </c>
      <c r="C27" s="2" t="s">
        <v>7</v>
      </c>
      <c r="D27" s="3">
        <v>4.21362E-4</v>
      </c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1.86"/>
    <col customWidth="1" min="3" max="4" width="19.14"/>
    <col customWidth="1" min="5" max="5" width="12.43"/>
    <col customWidth="1" min="6" max="6" width="14.86"/>
    <col customWidth="1" hidden="1" min="7" max="7" width="22.14"/>
    <col customWidth="1" hidden="1" min="8" max="9" width="28.71"/>
    <col customWidth="1" min="10" max="10" width="22.57"/>
    <col customWidth="1" min="11" max="12" width="20.29"/>
    <col customWidth="1" min="13" max="14" width="12.57"/>
    <col customWidth="1" min="15" max="15" width="18.71"/>
    <col customWidth="1" min="16" max="16" width="22.71"/>
    <col customWidth="1" hidden="1" min="17" max="17" width="22.86"/>
    <col customWidth="1" min="18" max="18" width="11.71"/>
    <col customWidth="1" min="19" max="19" width="22.71"/>
    <col customWidth="1" hidden="1" min="20" max="20" width="24.43"/>
    <col customWidth="1" min="21" max="21" width="11.71"/>
    <col customWidth="1" min="22" max="22" width="22.71"/>
    <col customWidth="1" hidden="1" min="23" max="23" width="24.43"/>
    <col customWidth="1" min="24" max="24" width="11.71"/>
    <col customWidth="1" min="25" max="25" width="24.71"/>
    <col customWidth="1" min="26" max="26" width="23.57"/>
    <col customWidth="1" min="27" max="27" width="16.29"/>
    <col customWidth="1" min="28" max="29" width="18.71"/>
    <col customWidth="1" min="30" max="30" width="27.71"/>
    <col customWidth="1" hidden="1" min="31" max="31" width="38.29"/>
  </cols>
  <sheetData>
    <row r="1">
      <c r="A1" s="7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9" t="s">
        <v>13</v>
      </c>
      <c r="G1" s="10" t="s">
        <v>14</v>
      </c>
      <c r="H1" s="11" t="s">
        <v>15</v>
      </c>
      <c r="I1" s="11" t="s">
        <v>16</v>
      </c>
      <c r="J1" s="12" t="s">
        <v>17</v>
      </c>
      <c r="K1" s="13" t="s">
        <v>18</v>
      </c>
      <c r="L1" s="13" t="s">
        <v>19</v>
      </c>
      <c r="M1" s="13" t="s">
        <v>20</v>
      </c>
      <c r="N1" s="14" t="s">
        <v>21</v>
      </c>
      <c r="O1" s="15" t="s">
        <v>22</v>
      </c>
      <c r="P1" s="16" t="s">
        <v>23</v>
      </c>
      <c r="Q1" s="17" t="s">
        <v>24</v>
      </c>
      <c r="R1" s="18" t="s">
        <v>25</v>
      </c>
      <c r="S1" s="16" t="s">
        <v>26</v>
      </c>
      <c r="T1" s="17" t="s">
        <v>27</v>
      </c>
      <c r="U1" s="18" t="s">
        <v>28</v>
      </c>
      <c r="V1" s="16" t="s">
        <v>29</v>
      </c>
      <c r="W1" s="17" t="s">
        <v>30</v>
      </c>
      <c r="X1" s="18" t="s">
        <v>31</v>
      </c>
      <c r="Y1" s="19" t="s">
        <v>32</v>
      </c>
      <c r="Z1" s="20" t="s">
        <v>33</v>
      </c>
      <c r="AA1" s="20" t="s">
        <v>34</v>
      </c>
      <c r="AB1" s="20" t="s">
        <v>35</v>
      </c>
      <c r="AC1" s="20" t="s">
        <v>36</v>
      </c>
      <c r="AD1" s="20" t="s">
        <v>37</v>
      </c>
      <c r="AE1" s="21" t="s">
        <v>38</v>
      </c>
    </row>
    <row r="2">
      <c r="A2" s="22">
        <v>2.611606019E9</v>
      </c>
      <c r="B2" s="23" t="s">
        <v>39</v>
      </c>
      <c r="C2" s="23">
        <v>2915.0</v>
      </c>
      <c r="D2" s="23">
        <v>4996.0</v>
      </c>
      <c r="E2" s="24">
        <f t="shared" ref="E2:E95" si="1">C2-D2</f>
        <v>-2081</v>
      </c>
      <c r="F2" s="25">
        <f t="shared" ref="F2:F95" si="2">(C2-D2)/D2</f>
        <v>-0.4165332266</v>
      </c>
      <c r="G2" s="26">
        <f t="shared" ref="G2:G95" si="3">D2/$D$96</f>
        <v>0.003270680211</v>
      </c>
      <c r="H2" s="27">
        <f t="shared" ref="H2:H95" si="4">1587707*G2</f>
        <v>5192.881866</v>
      </c>
      <c r="I2" s="27">
        <f t="shared" ref="I2:I95" si="5">1588376*G2</f>
        <v>5195.069951</v>
      </c>
      <c r="J2" s="28">
        <f t="shared" ref="J2:J95" si="6">C2/1488920</f>
        <v>0.001957794912</v>
      </c>
      <c r="K2" s="27">
        <f t="shared" ref="K2:K95" si="7">1587707*J2</f>
        <v>3108.404686</v>
      </c>
      <c r="L2" s="27">
        <f t="shared" ref="L2:L95" si="8">1588376*J2</f>
        <v>3109.714451</v>
      </c>
      <c r="M2" s="27">
        <f t="shared" ref="M2:M95" si="9">K2-C2</f>
        <v>193.4046859</v>
      </c>
      <c r="N2" s="29">
        <f t="shared" ref="N2:N95" si="10">L2-K2</f>
        <v>1.309764796</v>
      </c>
      <c r="O2" s="6">
        <f t="shared" ref="O2:O95" si="11">(C2/D2)^(1/12)-1</f>
        <v>-0.04390434592</v>
      </c>
      <c r="P2" s="30">
        <f t="shared" ref="P2:P95" si="12">C2*(1+O2)^(2024-2022)</f>
        <v>2664.656593</v>
      </c>
      <c r="Q2" s="27">
        <v>3188.8630689318434</v>
      </c>
      <c r="R2" s="29">
        <f t="shared" ref="R2:R95" si="13">Q2-C2</f>
        <v>273.8630689</v>
      </c>
      <c r="S2" s="30">
        <f t="shared" ref="S2:S95" si="14">C2*(1+O2)^(2025-2022)</f>
        <v>2547.666588</v>
      </c>
      <c r="T2" s="27">
        <f t="shared" ref="T2:T95" si="15">S2</f>
        <v>2547.666588</v>
      </c>
      <c r="U2" s="29">
        <f t="shared" ref="U2:U95" si="16">T2-Q2</f>
        <v>-641.196481</v>
      </c>
      <c r="V2" s="27">
        <f t="shared" ref="V2:V95" si="17">C2*(1+O2)^(2026-2022)</f>
        <v>2435.812953</v>
      </c>
      <c r="W2" s="27">
        <v>3488.455462228959</v>
      </c>
      <c r="X2" s="27">
        <f t="shared" ref="X2:X95" si="18">W2-T2</f>
        <v>940.7888743</v>
      </c>
      <c r="Y2" s="31">
        <f t="shared" ref="Y2:Y95" si="19">(1488920/1527510)^(1/12)-1</f>
        <v>-0.002130056018</v>
      </c>
      <c r="Z2" s="32">
        <f t="shared" ref="Z2:Z94" si="20">(C2/D2)^(1/12)-1</f>
        <v>-0.04390434592</v>
      </c>
      <c r="AA2" s="32">
        <f t="shared" ref="AA2:AA95" si="21">D2*Y2 + (D2*(Z2-Y2))</f>
        <v>-219.3461122</v>
      </c>
      <c r="AB2" s="27">
        <f t="shared" ref="AB2:AB95" si="22">C2*(1+Y2)^(2024-2022) + C2*(Z2-Y2)*(2024-2022)</f>
        <v>2659.050889</v>
      </c>
      <c r="AC2" s="27">
        <f t="shared" ref="AC2:AC95" si="23">C2*(1+Y2)^(2025-2022) + C2*(Z2-Y2)*(2025-2022)</f>
        <v>2531.096144</v>
      </c>
      <c r="AD2" s="27">
        <f t="shared" ref="AD2:AD95" si="24">C2*(1+Y2)^(2026-2022) + C2*(Z2-Y2)*(2026-2022)</f>
        <v>2403.154568</v>
      </c>
      <c r="AE2" s="29">
        <f t="shared" ref="AE2:AE95" si="25">($AC$96/1588376)*AC2</f>
        <v>2363.082531</v>
      </c>
    </row>
    <row r="3">
      <c r="A3" s="33">
        <v>2.611606043E9</v>
      </c>
      <c r="B3" s="34" t="s">
        <v>40</v>
      </c>
      <c r="C3" s="34">
        <v>2523.0</v>
      </c>
      <c r="D3" s="34">
        <v>3332.0</v>
      </c>
      <c r="E3" s="24">
        <f t="shared" si="1"/>
        <v>-809</v>
      </c>
      <c r="F3" s="25">
        <f t="shared" si="2"/>
        <v>-0.2427971188</v>
      </c>
      <c r="G3" s="26">
        <f t="shared" si="3"/>
        <v>0.002181326354</v>
      </c>
      <c r="H3" s="27">
        <f t="shared" si="4"/>
        <v>3463.307121</v>
      </c>
      <c r="I3" s="27">
        <f t="shared" si="5"/>
        <v>3464.766429</v>
      </c>
      <c r="J3" s="28">
        <f t="shared" si="6"/>
        <v>0.001694516831</v>
      </c>
      <c r="K3" s="27">
        <f t="shared" si="7"/>
        <v>2690.396234</v>
      </c>
      <c r="L3" s="27">
        <f t="shared" si="8"/>
        <v>2691.529866</v>
      </c>
      <c r="M3" s="27">
        <f t="shared" si="9"/>
        <v>167.3962342</v>
      </c>
      <c r="N3" s="29">
        <f t="shared" si="10"/>
        <v>1.13363176</v>
      </c>
      <c r="O3" s="6">
        <f t="shared" si="11"/>
        <v>-0.02291048083</v>
      </c>
      <c r="P3" s="30">
        <f t="shared" si="12"/>
        <v>2408.718012</v>
      </c>
      <c r="Q3" s="27">
        <v>2642.704114594108</v>
      </c>
      <c r="R3" s="29">
        <f t="shared" si="13"/>
        <v>119.7041146</v>
      </c>
      <c r="S3" s="30">
        <f t="shared" si="14"/>
        <v>2353.533124</v>
      </c>
      <c r="T3" s="27">
        <f t="shared" si="15"/>
        <v>2353.533124</v>
      </c>
      <c r="U3" s="29">
        <f t="shared" si="16"/>
        <v>-289.1709909</v>
      </c>
      <c r="V3" s="27">
        <f t="shared" si="17"/>
        <v>2299.612548</v>
      </c>
      <c r="W3" s="27">
        <v>2768.0876089150324</v>
      </c>
      <c r="X3" s="27">
        <f t="shared" si="18"/>
        <v>414.5544852</v>
      </c>
      <c r="Y3" s="31">
        <f t="shared" si="19"/>
        <v>-0.002130056018</v>
      </c>
      <c r="Z3" s="32">
        <f t="shared" si="20"/>
        <v>-0.02291048083</v>
      </c>
      <c r="AA3" s="32">
        <f t="shared" si="21"/>
        <v>-76.33772212</v>
      </c>
      <c r="AB3" s="27">
        <f t="shared" si="22"/>
        <v>2407.405161</v>
      </c>
      <c r="AC3" s="27">
        <f t="shared" si="23"/>
        <v>2349.624888</v>
      </c>
      <c r="AD3" s="27">
        <f t="shared" si="24"/>
        <v>2291.856013</v>
      </c>
      <c r="AE3" s="29">
        <f t="shared" si="25"/>
        <v>2193.657297</v>
      </c>
    </row>
    <row r="4">
      <c r="A4" s="33">
        <v>2.611606033E9</v>
      </c>
      <c r="B4" s="34" t="s">
        <v>41</v>
      </c>
      <c r="C4" s="34">
        <v>5062.0</v>
      </c>
      <c r="D4" s="34">
        <v>6584.0</v>
      </c>
      <c r="E4" s="24">
        <f t="shared" si="1"/>
        <v>-1522</v>
      </c>
      <c r="F4" s="25">
        <f t="shared" si="2"/>
        <v>-0.2311664642</v>
      </c>
      <c r="G4" s="26">
        <f t="shared" si="3"/>
        <v>0.004310279926</v>
      </c>
      <c r="H4" s="27">
        <f t="shared" si="4"/>
        <v>6843.46161</v>
      </c>
      <c r="I4" s="27">
        <f t="shared" si="5"/>
        <v>6846.345188</v>
      </c>
      <c r="J4" s="28">
        <f t="shared" si="6"/>
        <v>0.003399779706</v>
      </c>
      <c r="K4" s="27">
        <f t="shared" si="7"/>
        <v>5397.854038</v>
      </c>
      <c r="L4" s="27">
        <f t="shared" si="8"/>
        <v>5400.12849</v>
      </c>
      <c r="M4" s="27">
        <f t="shared" si="9"/>
        <v>335.8540378</v>
      </c>
      <c r="N4" s="29">
        <f t="shared" si="10"/>
        <v>2.274452623</v>
      </c>
      <c r="O4" s="6">
        <f t="shared" si="11"/>
        <v>-0.02166852359</v>
      </c>
      <c r="P4" s="30">
        <f t="shared" si="12"/>
        <v>4845.004602</v>
      </c>
      <c r="Q4" s="27">
        <v>5288.714068069488</v>
      </c>
      <c r="R4" s="29">
        <f t="shared" si="13"/>
        <v>226.7140681</v>
      </c>
      <c r="S4" s="30">
        <f t="shared" si="14"/>
        <v>4740.020506</v>
      </c>
      <c r="T4" s="27">
        <f t="shared" si="15"/>
        <v>4740.020506</v>
      </c>
      <c r="U4" s="29">
        <f t="shared" si="16"/>
        <v>-548.6935623</v>
      </c>
      <c r="V4" s="27">
        <f t="shared" si="17"/>
        <v>4637.31126</v>
      </c>
      <c r="W4" s="27">
        <v>5525.582080955376</v>
      </c>
      <c r="X4" s="27">
        <f t="shared" si="18"/>
        <v>785.5615752</v>
      </c>
      <c r="Y4" s="31">
        <f t="shared" si="19"/>
        <v>-0.002130056018</v>
      </c>
      <c r="Z4" s="32">
        <f t="shared" si="20"/>
        <v>-0.02166852359</v>
      </c>
      <c r="AA4" s="32">
        <f t="shared" si="21"/>
        <v>-142.6655593</v>
      </c>
      <c r="AB4" s="27">
        <f t="shared" si="22"/>
        <v>4842.650834</v>
      </c>
      <c r="AC4" s="27">
        <f t="shared" si="23"/>
        <v>4733.010653</v>
      </c>
      <c r="AD4" s="27">
        <f t="shared" si="24"/>
        <v>4623.393341</v>
      </c>
      <c r="AE4" s="29">
        <f t="shared" si="25"/>
        <v>4418.834432</v>
      </c>
    </row>
    <row r="5">
      <c r="A5" s="33">
        <v>2.611606008E9</v>
      </c>
      <c r="B5" s="34" t="s">
        <v>42</v>
      </c>
      <c r="C5" s="34">
        <v>5923.0</v>
      </c>
      <c r="D5" s="34">
        <v>7625.0</v>
      </c>
      <c r="E5" s="24">
        <f t="shared" si="1"/>
        <v>-1702</v>
      </c>
      <c r="F5" s="25">
        <f t="shared" si="2"/>
        <v>-0.2232131148</v>
      </c>
      <c r="G5" s="26">
        <f t="shared" si="3"/>
        <v>0.004991780747</v>
      </c>
      <c r="H5" s="27">
        <f t="shared" si="4"/>
        <v>7925.485234</v>
      </c>
      <c r="I5" s="27">
        <f t="shared" si="5"/>
        <v>7928.824735</v>
      </c>
      <c r="J5" s="28">
        <f t="shared" si="6"/>
        <v>0.003978051205</v>
      </c>
      <c r="K5" s="27">
        <f t="shared" si="7"/>
        <v>6315.979744</v>
      </c>
      <c r="L5" s="27">
        <f t="shared" si="8"/>
        <v>6318.641061</v>
      </c>
      <c r="M5" s="27">
        <f t="shared" si="9"/>
        <v>392.9797444</v>
      </c>
      <c r="N5" s="29">
        <f t="shared" si="10"/>
        <v>2.661316256</v>
      </c>
      <c r="O5" s="6">
        <f t="shared" si="11"/>
        <v>-0.02082911759</v>
      </c>
      <c r="P5" s="30">
        <f t="shared" si="12"/>
        <v>5678.827979</v>
      </c>
      <c r="Q5" s="27">
        <v>6177.670661646828</v>
      </c>
      <c r="R5" s="29">
        <f t="shared" si="13"/>
        <v>254.6706616</v>
      </c>
      <c r="S5" s="30">
        <f t="shared" si="14"/>
        <v>5560.543004</v>
      </c>
      <c r="T5" s="27">
        <f t="shared" si="15"/>
        <v>5560.543004</v>
      </c>
      <c r="U5" s="29">
        <f t="shared" si="16"/>
        <v>-617.1276581</v>
      </c>
      <c r="V5" s="27">
        <f t="shared" si="17"/>
        <v>5444.721799</v>
      </c>
      <c r="W5" s="27">
        <v>6443.291373252063</v>
      </c>
      <c r="X5" s="27">
        <f t="shared" si="18"/>
        <v>882.7483697</v>
      </c>
      <c r="Y5" s="31">
        <f t="shared" si="19"/>
        <v>-0.002130056018</v>
      </c>
      <c r="Z5" s="32">
        <f t="shared" si="20"/>
        <v>-0.02082911759</v>
      </c>
      <c r="AA5" s="32">
        <f t="shared" si="21"/>
        <v>-158.8220216</v>
      </c>
      <c r="AB5" s="27">
        <f t="shared" si="22"/>
        <v>5676.285147</v>
      </c>
      <c r="AC5" s="27">
        <f t="shared" si="23"/>
        <v>5552.967973</v>
      </c>
      <c r="AD5" s="27">
        <f t="shared" si="24"/>
        <v>5429.677558</v>
      </c>
      <c r="AE5" s="29">
        <f t="shared" si="25"/>
        <v>5184.363163</v>
      </c>
    </row>
    <row r="6">
      <c r="A6" s="33">
        <v>2.611606061E9</v>
      </c>
      <c r="B6" s="34" t="s">
        <v>43</v>
      </c>
      <c r="C6" s="34">
        <v>4763.0</v>
      </c>
      <c r="D6" s="34">
        <v>6032.0</v>
      </c>
      <c r="E6" s="24">
        <f t="shared" si="1"/>
        <v>-1269</v>
      </c>
      <c r="F6" s="25">
        <f t="shared" si="2"/>
        <v>-0.2103779841</v>
      </c>
      <c r="G6" s="26">
        <f t="shared" si="3"/>
        <v>0.003948907733</v>
      </c>
      <c r="H6" s="27">
        <f t="shared" si="4"/>
        <v>6269.70845</v>
      </c>
      <c r="I6" s="27">
        <f t="shared" si="5"/>
        <v>6272.350269</v>
      </c>
      <c r="J6" s="28">
        <f t="shared" si="6"/>
        <v>0.003198963007</v>
      </c>
      <c r="K6" s="27">
        <f t="shared" si="7"/>
        <v>5079.015959</v>
      </c>
      <c r="L6" s="27">
        <f t="shared" si="8"/>
        <v>5081.156065</v>
      </c>
      <c r="M6" s="27">
        <f t="shared" si="9"/>
        <v>316.0159585</v>
      </c>
      <c r="N6" s="29">
        <f t="shared" si="10"/>
        <v>2.140106252</v>
      </c>
      <c r="O6" s="6">
        <f t="shared" si="11"/>
        <v>-0.01949095556</v>
      </c>
      <c r="P6" s="30">
        <f t="shared" si="12"/>
        <v>4579.138608</v>
      </c>
      <c r="Q6" s="27">
        <v>4954.2437868857105</v>
      </c>
      <c r="R6" s="29">
        <f t="shared" si="13"/>
        <v>191.2437869</v>
      </c>
      <c r="S6" s="30">
        <f t="shared" si="14"/>
        <v>4489.886821</v>
      </c>
      <c r="T6" s="27">
        <f t="shared" si="15"/>
        <v>4489.886821</v>
      </c>
      <c r="U6" s="29">
        <f t="shared" si="16"/>
        <v>-464.3569656</v>
      </c>
      <c r="V6" s="27">
        <f t="shared" si="17"/>
        <v>4402.374637</v>
      </c>
      <c r="W6" s="27">
        <v>5153.166386709146</v>
      </c>
      <c r="X6" s="27">
        <f t="shared" si="18"/>
        <v>663.2795654</v>
      </c>
      <c r="Y6" s="31">
        <f t="shared" si="19"/>
        <v>-0.002130056018</v>
      </c>
      <c r="Z6" s="32">
        <f t="shared" si="20"/>
        <v>-0.01949095556</v>
      </c>
      <c r="AA6" s="32">
        <f t="shared" si="21"/>
        <v>-117.5694439</v>
      </c>
      <c r="AB6" s="27">
        <f t="shared" si="22"/>
        <v>4577.350768</v>
      </c>
      <c r="AC6" s="27">
        <f t="shared" si="23"/>
        <v>4484.558521</v>
      </c>
      <c r="AD6" s="27">
        <f t="shared" si="24"/>
        <v>4391.787793</v>
      </c>
      <c r="AE6" s="29">
        <f t="shared" si="25"/>
        <v>4186.874499</v>
      </c>
    </row>
    <row r="7">
      <c r="A7" s="33">
        <v>2.611606023E9</v>
      </c>
      <c r="B7" s="34" t="s">
        <v>44</v>
      </c>
      <c r="C7" s="34">
        <v>2091.0</v>
      </c>
      <c r="D7" s="34">
        <v>2626.0</v>
      </c>
      <c r="E7" s="24">
        <f t="shared" si="1"/>
        <v>-535</v>
      </c>
      <c r="F7" s="25">
        <f t="shared" si="2"/>
        <v>-0.2037319117</v>
      </c>
      <c r="G7" s="26">
        <f t="shared" si="3"/>
        <v>0.001719136556</v>
      </c>
      <c r="H7" s="27">
        <f t="shared" si="4"/>
        <v>2729.485144</v>
      </c>
      <c r="I7" s="27">
        <f t="shared" si="5"/>
        <v>2730.635246</v>
      </c>
      <c r="J7" s="28">
        <f t="shared" si="6"/>
        <v>0.00140437364</v>
      </c>
      <c r="K7" s="27">
        <f t="shared" si="7"/>
        <v>2229.733859</v>
      </c>
      <c r="L7" s="27">
        <f t="shared" si="8"/>
        <v>2230.673385</v>
      </c>
      <c r="M7" s="27">
        <f t="shared" si="9"/>
        <v>138.7338588</v>
      </c>
      <c r="N7" s="29">
        <f t="shared" si="10"/>
        <v>0.9395259651</v>
      </c>
      <c r="O7" s="6">
        <f t="shared" si="11"/>
        <v>-0.01880586725</v>
      </c>
      <c r="P7" s="30">
        <f t="shared" si="12"/>
        <v>2013.093368</v>
      </c>
      <c r="Q7" s="27">
        <v>2171.921615991639</v>
      </c>
      <c r="R7" s="29">
        <f t="shared" si="13"/>
        <v>80.92161599</v>
      </c>
      <c r="S7" s="30">
        <f t="shared" si="14"/>
        <v>1975.235401</v>
      </c>
      <c r="T7" s="27">
        <f t="shared" si="15"/>
        <v>1975.235401</v>
      </c>
      <c r="U7" s="29">
        <f t="shared" si="16"/>
        <v>-196.6862151</v>
      </c>
      <c r="V7" s="27">
        <f t="shared" si="17"/>
        <v>1938.089386</v>
      </c>
      <c r="W7" s="27">
        <v>2255.9748952710347</v>
      </c>
      <c r="X7" s="27">
        <f t="shared" si="18"/>
        <v>280.7394944</v>
      </c>
      <c r="Y7" s="31">
        <f t="shared" si="19"/>
        <v>-0.002130056018</v>
      </c>
      <c r="Z7" s="32">
        <f t="shared" si="20"/>
        <v>-0.01880586725</v>
      </c>
      <c r="AA7" s="32">
        <f t="shared" si="21"/>
        <v>-49.38420741</v>
      </c>
      <c r="AB7" s="27">
        <f t="shared" si="22"/>
        <v>2012.36335</v>
      </c>
      <c r="AC7" s="27">
        <f t="shared" si="23"/>
        <v>1973.059236</v>
      </c>
      <c r="AD7" s="27">
        <f t="shared" si="24"/>
        <v>1933.764568</v>
      </c>
      <c r="AE7" s="29">
        <f t="shared" si="25"/>
        <v>1842.087992</v>
      </c>
    </row>
    <row r="8">
      <c r="A8" s="33">
        <v>2.61160603E9</v>
      </c>
      <c r="B8" s="34" t="s">
        <v>45</v>
      </c>
      <c r="C8" s="34">
        <v>7089.0</v>
      </c>
      <c r="D8" s="34">
        <v>8854.0</v>
      </c>
      <c r="E8" s="24">
        <f t="shared" si="1"/>
        <v>-1765</v>
      </c>
      <c r="F8" s="25">
        <f t="shared" si="2"/>
        <v>-0.1993449288</v>
      </c>
      <c r="G8" s="26">
        <f t="shared" si="3"/>
        <v>0.005796357604</v>
      </c>
      <c r="H8" s="27">
        <f t="shared" si="4"/>
        <v>9202.917542</v>
      </c>
      <c r="I8" s="27">
        <f t="shared" si="5"/>
        <v>9206.795306</v>
      </c>
      <c r="J8" s="28">
        <f t="shared" si="6"/>
        <v>0.00476116917</v>
      </c>
      <c r="K8" s="27">
        <f t="shared" si="7"/>
        <v>7559.341619</v>
      </c>
      <c r="L8" s="27">
        <f t="shared" si="8"/>
        <v>7562.526841</v>
      </c>
      <c r="M8" s="27">
        <f t="shared" si="9"/>
        <v>470.3416188</v>
      </c>
      <c r="N8" s="29">
        <f t="shared" si="10"/>
        <v>3.185222174</v>
      </c>
      <c r="O8" s="6">
        <f t="shared" si="11"/>
        <v>-0.01835651583</v>
      </c>
      <c r="P8" s="30">
        <f t="shared" si="12"/>
        <v>6831.13004</v>
      </c>
      <c r="Q8" s="27">
        <v>7356.604354825008</v>
      </c>
      <c r="R8" s="29">
        <f t="shared" si="13"/>
        <v>267.6043548</v>
      </c>
      <c r="S8" s="30">
        <f t="shared" si="14"/>
        <v>6705.734293</v>
      </c>
      <c r="T8" s="27">
        <f t="shared" si="15"/>
        <v>6705.734293</v>
      </c>
      <c r="U8" s="29">
        <f t="shared" si="16"/>
        <v>-650.8700616</v>
      </c>
      <c r="V8" s="27">
        <f t="shared" si="17"/>
        <v>6582.640376</v>
      </c>
      <c r="W8" s="27">
        <v>7634.3105703809115</v>
      </c>
      <c r="X8" s="27">
        <f t="shared" si="18"/>
        <v>928.5762772</v>
      </c>
      <c r="Y8" s="31">
        <f t="shared" si="19"/>
        <v>-0.002130056018</v>
      </c>
      <c r="Z8" s="32">
        <f t="shared" si="20"/>
        <v>-0.01835651583</v>
      </c>
      <c r="AA8" s="32">
        <f t="shared" si="21"/>
        <v>-162.5285911</v>
      </c>
      <c r="AB8" s="27">
        <f t="shared" si="22"/>
        <v>6828.773482</v>
      </c>
      <c r="AC8" s="27">
        <f t="shared" si="23"/>
        <v>6698.708401</v>
      </c>
      <c r="AD8" s="27">
        <f t="shared" si="24"/>
        <v>6568.675346</v>
      </c>
      <c r="AE8" s="29">
        <f t="shared" si="25"/>
        <v>6254.049589</v>
      </c>
    </row>
    <row r="9">
      <c r="A9" s="33">
        <v>2.611606077E9</v>
      </c>
      <c r="B9" s="34" t="s">
        <v>46</v>
      </c>
      <c r="C9" s="34">
        <v>7408.0</v>
      </c>
      <c r="D9" s="34">
        <v>9237.0</v>
      </c>
      <c r="E9" s="24">
        <f t="shared" si="1"/>
        <v>-1829</v>
      </c>
      <c r="F9" s="25">
        <f t="shared" si="2"/>
        <v>-0.1980080113</v>
      </c>
      <c r="G9" s="26">
        <f t="shared" si="3"/>
        <v>0.006047092296</v>
      </c>
      <c r="H9" s="27">
        <f t="shared" si="4"/>
        <v>9601.010768</v>
      </c>
      <c r="I9" s="27">
        <f t="shared" si="5"/>
        <v>9605.056273</v>
      </c>
      <c r="J9" s="28">
        <f t="shared" si="6"/>
        <v>0.004975418424</v>
      </c>
      <c r="K9" s="27">
        <f t="shared" si="7"/>
        <v>7899.50666</v>
      </c>
      <c r="L9" s="27">
        <f t="shared" si="8"/>
        <v>7902.835215</v>
      </c>
      <c r="M9" s="27">
        <f t="shared" si="9"/>
        <v>491.5066599</v>
      </c>
      <c r="N9" s="29">
        <f t="shared" si="10"/>
        <v>3.328554926</v>
      </c>
      <c r="O9" s="6">
        <f t="shared" si="11"/>
        <v>-0.01822002622</v>
      </c>
      <c r="P9" s="30">
        <f t="shared" si="12"/>
        <v>7140.51132</v>
      </c>
      <c r="Q9" s="27">
        <v>7685.508997462087</v>
      </c>
      <c r="R9" s="29">
        <f t="shared" si="13"/>
        <v>277.5089975</v>
      </c>
      <c r="S9" s="30">
        <f t="shared" si="14"/>
        <v>7010.411017</v>
      </c>
      <c r="T9" s="27">
        <f t="shared" si="15"/>
        <v>7010.411017</v>
      </c>
      <c r="U9" s="29">
        <f t="shared" si="16"/>
        <v>-675.0979805</v>
      </c>
      <c r="V9" s="27">
        <f t="shared" si="17"/>
        <v>6882.681144</v>
      </c>
      <c r="W9" s="27">
        <v>7973.41368116505</v>
      </c>
      <c r="X9" s="27">
        <f t="shared" si="18"/>
        <v>963.0026642</v>
      </c>
      <c r="Y9" s="31">
        <f t="shared" si="19"/>
        <v>-0.002130056018</v>
      </c>
      <c r="Z9" s="32">
        <f t="shared" si="20"/>
        <v>-0.01822002622</v>
      </c>
      <c r="AA9" s="32">
        <f t="shared" si="21"/>
        <v>-168.2983822</v>
      </c>
      <c r="AB9" s="27">
        <f t="shared" si="22"/>
        <v>7138.085703</v>
      </c>
      <c r="AC9" s="27">
        <f t="shared" si="23"/>
        <v>7003.178899</v>
      </c>
      <c r="AD9" s="27">
        <f t="shared" si="24"/>
        <v>6868.305563</v>
      </c>
      <c r="AE9" s="29">
        <f t="shared" si="25"/>
        <v>6538.309402</v>
      </c>
    </row>
    <row r="10">
      <c r="A10" s="33">
        <v>2.611606051E9</v>
      </c>
      <c r="B10" s="34" t="s">
        <v>47</v>
      </c>
      <c r="C10" s="34">
        <v>8217.0</v>
      </c>
      <c r="D10" s="34">
        <v>10169.0</v>
      </c>
      <c r="E10" s="24">
        <f t="shared" si="1"/>
        <v>-1952</v>
      </c>
      <c r="F10" s="25">
        <f t="shared" si="2"/>
        <v>-0.1919559445</v>
      </c>
      <c r="G10" s="26">
        <f t="shared" si="3"/>
        <v>0.006657235202</v>
      </c>
      <c r="H10" s="27">
        <f t="shared" si="4"/>
        <v>10569.73893</v>
      </c>
      <c r="I10" s="27">
        <f t="shared" si="5"/>
        <v>10574.19262</v>
      </c>
      <c r="J10" s="28">
        <f t="shared" si="6"/>
        <v>0.00551876528</v>
      </c>
      <c r="K10" s="27">
        <f t="shared" si="7"/>
        <v>8762.182266</v>
      </c>
      <c r="L10" s="27">
        <f t="shared" si="8"/>
        <v>8765.87432</v>
      </c>
      <c r="M10" s="27">
        <f t="shared" si="9"/>
        <v>545.1822657</v>
      </c>
      <c r="N10" s="29">
        <f t="shared" si="10"/>
        <v>3.692053972</v>
      </c>
      <c r="O10" s="6">
        <f t="shared" si="11"/>
        <v>-0.01760475143</v>
      </c>
      <c r="P10" s="30">
        <f t="shared" si="12"/>
        <v>7930.230187</v>
      </c>
      <c r="Q10" s="27">
        <v>8514.139867889999</v>
      </c>
      <c r="R10" s="29">
        <f t="shared" si="13"/>
        <v>297.1398679</v>
      </c>
      <c r="S10" s="30">
        <f t="shared" si="14"/>
        <v>7790.620456</v>
      </c>
      <c r="T10" s="27">
        <f t="shared" si="15"/>
        <v>7790.620456</v>
      </c>
      <c r="U10" s="29">
        <f t="shared" si="16"/>
        <v>-723.5194117</v>
      </c>
      <c r="V10" s="27">
        <f t="shared" si="17"/>
        <v>7653.46852</v>
      </c>
      <c r="W10" s="27">
        <v>8822.02478885164</v>
      </c>
      <c r="X10" s="27">
        <f t="shared" si="18"/>
        <v>1031.404333</v>
      </c>
      <c r="Y10" s="31">
        <f t="shared" si="19"/>
        <v>-0.002130056018</v>
      </c>
      <c r="Z10" s="32">
        <f t="shared" si="20"/>
        <v>-0.01760475143</v>
      </c>
      <c r="AA10" s="32">
        <f t="shared" si="21"/>
        <v>-179.0227173</v>
      </c>
      <c r="AB10" s="27">
        <f t="shared" si="22"/>
        <v>7927.720797</v>
      </c>
      <c r="AC10" s="27">
        <f t="shared" si="23"/>
        <v>7783.137038</v>
      </c>
      <c r="AD10" s="27">
        <f t="shared" si="24"/>
        <v>7638.590403</v>
      </c>
      <c r="AE10" s="29">
        <f t="shared" si="25"/>
        <v>7266.494089</v>
      </c>
    </row>
    <row r="11">
      <c r="A11" s="33">
        <v>2.61160609E9</v>
      </c>
      <c r="B11" s="34" t="s">
        <v>48</v>
      </c>
      <c r="C11" s="34">
        <v>20610.0</v>
      </c>
      <c r="D11" s="34">
        <v>24986.0</v>
      </c>
      <c r="E11" s="24">
        <f t="shared" si="1"/>
        <v>-4376</v>
      </c>
      <c r="F11" s="25">
        <f t="shared" si="2"/>
        <v>-0.1751380773</v>
      </c>
      <c r="G11" s="26">
        <f t="shared" si="3"/>
        <v>0.01635732901</v>
      </c>
      <c r="H11" s="27">
        <f t="shared" si="4"/>
        <v>25970.64578</v>
      </c>
      <c r="I11" s="27">
        <f t="shared" si="5"/>
        <v>25981.58883</v>
      </c>
      <c r="J11" s="28">
        <f t="shared" si="6"/>
        <v>0.01384224807</v>
      </c>
      <c r="K11" s="27">
        <f t="shared" si="7"/>
        <v>21977.43416</v>
      </c>
      <c r="L11" s="27">
        <f t="shared" si="8"/>
        <v>21986.69462</v>
      </c>
      <c r="M11" s="27">
        <f t="shared" si="9"/>
        <v>1367.43416</v>
      </c>
      <c r="N11" s="29">
        <f t="shared" si="10"/>
        <v>9.26046396</v>
      </c>
      <c r="O11" s="6">
        <f t="shared" si="11"/>
        <v>-0.01591690507</v>
      </c>
      <c r="P11" s="30">
        <f t="shared" si="12"/>
        <v>19959.12667</v>
      </c>
      <c r="Q11" s="27">
        <v>21282.098508945815</v>
      </c>
      <c r="R11" s="29">
        <f t="shared" si="13"/>
        <v>672.0985089</v>
      </c>
      <c r="S11" s="30">
        <f t="shared" si="14"/>
        <v>19641.43915</v>
      </c>
      <c r="T11" s="27">
        <f t="shared" si="15"/>
        <v>19641.43915</v>
      </c>
      <c r="U11" s="29">
        <f t="shared" si="16"/>
        <v>-1640.659361</v>
      </c>
      <c r="V11" s="27">
        <f t="shared" si="17"/>
        <v>19328.80823</v>
      </c>
      <c r="W11" s="27">
        <v>21976.11435926607</v>
      </c>
      <c r="X11" s="27">
        <f t="shared" si="18"/>
        <v>2334.675211</v>
      </c>
      <c r="Y11" s="31">
        <f t="shared" si="19"/>
        <v>-0.002130056018</v>
      </c>
      <c r="Z11" s="32">
        <f t="shared" si="20"/>
        <v>-0.01591690507</v>
      </c>
      <c r="AA11" s="32">
        <f t="shared" si="21"/>
        <v>-397.69979</v>
      </c>
      <c r="AB11" s="27">
        <f t="shared" si="22"/>
        <v>19953.99868</v>
      </c>
      <c r="AC11" s="27">
        <f t="shared" si="23"/>
        <v>19626.13809</v>
      </c>
      <c r="AD11" s="27">
        <f t="shared" si="24"/>
        <v>19298.37061</v>
      </c>
      <c r="AE11" s="29">
        <f t="shared" si="25"/>
        <v>18323.3593</v>
      </c>
    </row>
    <row r="12">
      <c r="A12" s="33">
        <v>2.61160605E9</v>
      </c>
      <c r="B12" s="34" t="s">
        <v>49</v>
      </c>
      <c r="C12" s="34">
        <v>10365.0</v>
      </c>
      <c r="D12" s="34">
        <v>12453.0</v>
      </c>
      <c r="E12" s="24">
        <f t="shared" si="1"/>
        <v>-2088</v>
      </c>
      <c r="F12" s="25">
        <f t="shared" si="2"/>
        <v>-0.1676704409</v>
      </c>
      <c r="G12" s="26">
        <f t="shared" si="3"/>
        <v>0.008152478116</v>
      </c>
      <c r="H12" s="27">
        <f t="shared" si="4"/>
        <v>12943.74657</v>
      </c>
      <c r="I12" s="27">
        <f t="shared" si="5"/>
        <v>12949.20058</v>
      </c>
      <c r="J12" s="28">
        <f t="shared" si="6"/>
        <v>0.006961421702</v>
      </c>
      <c r="K12" s="27">
        <f t="shared" si="7"/>
        <v>11052.69797</v>
      </c>
      <c r="L12" s="27">
        <f t="shared" si="8"/>
        <v>11057.35516</v>
      </c>
      <c r="M12" s="27">
        <f t="shared" si="9"/>
        <v>687.6979656</v>
      </c>
      <c r="N12" s="29">
        <f t="shared" si="10"/>
        <v>4.657191118</v>
      </c>
      <c r="O12" s="6">
        <f t="shared" si="11"/>
        <v>-0.01517754323</v>
      </c>
      <c r="P12" s="30">
        <f t="shared" si="12"/>
        <v>10052.75719</v>
      </c>
      <c r="Q12" s="27">
        <v>10686.941203709659</v>
      </c>
      <c r="R12" s="29">
        <f t="shared" si="13"/>
        <v>321.9412037</v>
      </c>
      <c r="S12" s="30">
        <f t="shared" si="14"/>
        <v>9900.181031</v>
      </c>
      <c r="T12" s="27">
        <f t="shared" si="15"/>
        <v>9900.181031</v>
      </c>
      <c r="U12" s="29">
        <f t="shared" si="16"/>
        <v>-786.7601728</v>
      </c>
      <c r="V12" s="27">
        <f t="shared" si="17"/>
        <v>9749.920605</v>
      </c>
      <c r="W12" s="27">
        <v>11018.88203488155</v>
      </c>
      <c r="X12" s="27">
        <f t="shared" si="18"/>
        <v>1118.701004</v>
      </c>
      <c r="Y12" s="31">
        <f t="shared" si="19"/>
        <v>-0.002130056018</v>
      </c>
      <c r="Z12" s="32">
        <f t="shared" si="20"/>
        <v>-0.01517754323</v>
      </c>
      <c r="AA12" s="32">
        <f t="shared" si="21"/>
        <v>-189.0059458</v>
      </c>
      <c r="AB12" s="27">
        <f t="shared" si="22"/>
        <v>10050.41656</v>
      </c>
      <c r="AC12" s="27">
        <f t="shared" si="23"/>
        <v>9893.195276</v>
      </c>
      <c r="AD12" s="27">
        <f t="shared" si="24"/>
        <v>9736.020822</v>
      </c>
      <c r="AE12" s="29">
        <f t="shared" si="25"/>
        <v>9236.487118</v>
      </c>
    </row>
    <row r="13">
      <c r="A13" s="33">
        <v>2.611606079E9</v>
      </c>
      <c r="B13" s="34" t="s">
        <v>50</v>
      </c>
      <c r="C13" s="34">
        <v>8738.0</v>
      </c>
      <c r="D13" s="34">
        <v>10458.0</v>
      </c>
      <c r="E13" s="24">
        <f t="shared" si="1"/>
        <v>-1720</v>
      </c>
      <c r="F13" s="25">
        <f t="shared" si="2"/>
        <v>-0.1644673934</v>
      </c>
      <c r="G13" s="26">
        <f t="shared" si="3"/>
        <v>0.006846431875</v>
      </c>
      <c r="H13" s="27">
        <f t="shared" si="4"/>
        <v>10870.12781</v>
      </c>
      <c r="I13" s="27">
        <f t="shared" si="5"/>
        <v>10874.70808</v>
      </c>
      <c r="J13" s="28">
        <f t="shared" si="6"/>
        <v>0.005868683341</v>
      </c>
      <c r="K13" s="27">
        <f t="shared" si="7"/>
        <v>9317.749621</v>
      </c>
      <c r="L13" s="27">
        <f t="shared" si="8"/>
        <v>9321.67577</v>
      </c>
      <c r="M13" s="27">
        <f t="shared" si="9"/>
        <v>579.7496212</v>
      </c>
      <c r="N13" s="29">
        <f t="shared" si="10"/>
        <v>3.926149155</v>
      </c>
      <c r="O13" s="6">
        <f t="shared" si="11"/>
        <v>-0.01486227518</v>
      </c>
      <c r="P13" s="30">
        <f t="shared" si="12"/>
        <v>8480.196991</v>
      </c>
      <c r="Q13" s="27">
        <v>9003.640372633397</v>
      </c>
      <c r="R13" s="29">
        <f t="shared" si="13"/>
        <v>265.6403726</v>
      </c>
      <c r="S13" s="30">
        <f t="shared" si="14"/>
        <v>8354.16197</v>
      </c>
      <c r="T13" s="27">
        <f t="shared" si="15"/>
        <v>8354.16197</v>
      </c>
      <c r="U13" s="29">
        <f t="shared" si="16"/>
        <v>-649.4784025</v>
      </c>
      <c r="V13" s="27">
        <f t="shared" si="17"/>
        <v>8230.000116</v>
      </c>
      <c r="W13" s="27">
        <v>9277.356369845966</v>
      </c>
      <c r="X13" s="27">
        <f t="shared" si="18"/>
        <v>923.1943997</v>
      </c>
      <c r="Y13" s="31">
        <f t="shared" si="19"/>
        <v>-0.002130056018</v>
      </c>
      <c r="Z13" s="32">
        <f t="shared" si="20"/>
        <v>-0.01486227518</v>
      </c>
      <c r="AA13" s="32">
        <f t="shared" si="21"/>
        <v>-155.4296739</v>
      </c>
      <c r="AB13" s="27">
        <f t="shared" si="22"/>
        <v>8478.306524</v>
      </c>
      <c r="AC13" s="27">
        <f t="shared" si="23"/>
        <v>8348.51917</v>
      </c>
      <c r="AD13" s="27">
        <f t="shared" si="24"/>
        <v>8218.771293</v>
      </c>
      <c r="AE13" s="29">
        <f t="shared" si="25"/>
        <v>7794.346278</v>
      </c>
    </row>
    <row r="14">
      <c r="A14" s="33">
        <v>2.611606045E9</v>
      </c>
      <c r="B14" s="34" t="s">
        <v>51</v>
      </c>
      <c r="C14" s="34">
        <v>28697.0</v>
      </c>
      <c r="D14" s="34">
        <v>34204.0</v>
      </c>
      <c r="E14" s="24">
        <f t="shared" si="1"/>
        <v>-5507</v>
      </c>
      <c r="F14" s="25">
        <f t="shared" si="2"/>
        <v>-0.1610045609</v>
      </c>
      <c r="G14" s="26">
        <f t="shared" si="3"/>
        <v>0.02239198277</v>
      </c>
      <c r="H14" s="27">
        <f t="shared" si="4"/>
        <v>35551.9078</v>
      </c>
      <c r="I14" s="27">
        <f t="shared" si="5"/>
        <v>35566.88803</v>
      </c>
      <c r="J14" s="28">
        <f t="shared" si="6"/>
        <v>0.01927370174</v>
      </c>
      <c r="K14" s="27">
        <f t="shared" si="7"/>
        <v>30600.99117</v>
      </c>
      <c r="L14" s="27">
        <f t="shared" si="8"/>
        <v>30613.88528</v>
      </c>
      <c r="M14" s="27">
        <f t="shared" si="9"/>
        <v>1903.991174</v>
      </c>
      <c r="N14" s="29">
        <f t="shared" si="10"/>
        <v>12.89410647</v>
      </c>
      <c r="O14" s="6">
        <f t="shared" si="11"/>
        <v>-0.01452268102</v>
      </c>
      <c r="P14" s="30">
        <f t="shared" si="12"/>
        <v>27869.53768</v>
      </c>
      <c r="Q14" s="27">
        <v>29549.030143582124</v>
      </c>
      <c r="R14" s="29">
        <f t="shared" si="13"/>
        <v>852.0301436</v>
      </c>
      <c r="S14" s="30">
        <f t="shared" si="14"/>
        <v>27464.79727</v>
      </c>
      <c r="T14" s="27">
        <f t="shared" si="15"/>
        <v>27464.79727</v>
      </c>
      <c r="U14" s="29">
        <f t="shared" si="16"/>
        <v>-2084.232869</v>
      </c>
      <c r="V14" s="27">
        <f t="shared" si="17"/>
        <v>27065.93478</v>
      </c>
      <c r="W14" s="27">
        <v>30426.357543517614</v>
      </c>
      <c r="X14" s="27">
        <f t="shared" si="18"/>
        <v>2961.560269</v>
      </c>
      <c r="Y14" s="31">
        <f t="shared" si="19"/>
        <v>-0.002130056018</v>
      </c>
      <c r="Z14" s="32">
        <f t="shared" si="20"/>
        <v>-0.01452268102</v>
      </c>
      <c r="AA14" s="32">
        <f t="shared" si="21"/>
        <v>-496.7337815</v>
      </c>
      <c r="AB14" s="27">
        <f t="shared" si="22"/>
        <v>27863.61545</v>
      </c>
      <c r="AC14" s="27">
        <f t="shared" si="23"/>
        <v>27447.1182</v>
      </c>
      <c r="AD14" s="27">
        <f t="shared" si="24"/>
        <v>27030.7506</v>
      </c>
      <c r="AE14" s="29">
        <f t="shared" si="25"/>
        <v>25625.18444</v>
      </c>
    </row>
    <row r="15">
      <c r="A15" s="33">
        <v>2.611606014E9</v>
      </c>
      <c r="B15" s="34" t="s">
        <v>52</v>
      </c>
      <c r="C15" s="34">
        <v>1342.0</v>
      </c>
      <c r="D15" s="34">
        <v>1591.0</v>
      </c>
      <c r="E15" s="24">
        <f t="shared" si="1"/>
        <v>-249</v>
      </c>
      <c r="F15" s="25">
        <f t="shared" si="2"/>
        <v>-0.1565053426</v>
      </c>
      <c r="G15" s="26">
        <f t="shared" si="3"/>
        <v>0.001041563694</v>
      </c>
      <c r="H15" s="27">
        <f t="shared" si="4"/>
        <v>1653.697968</v>
      </c>
      <c r="I15" s="27">
        <f t="shared" si="5"/>
        <v>1654.394774</v>
      </c>
      <c r="J15" s="28">
        <f t="shared" si="6"/>
        <v>0.0009013244499</v>
      </c>
      <c r="K15" s="27">
        <f t="shared" si="7"/>
        <v>1431.039138</v>
      </c>
      <c r="L15" s="27">
        <f t="shared" si="8"/>
        <v>1431.642124</v>
      </c>
      <c r="M15" s="27">
        <f t="shared" si="9"/>
        <v>89.03913844</v>
      </c>
      <c r="N15" s="29">
        <f t="shared" si="10"/>
        <v>0.602986057</v>
      </c>
      <c r="O15" s="6">
        <f t="shared" si="11"/>
        <v>-0.01408336428</v>
      </c>
      <c r="P15" s="30">
        <f t="shared" si="12"/>
        <v>1304.466424</v>
      </c>
      <c r="Q15" s="27">
        <v>1380.6135341755005</v>
      </c>
      <c r="R15" s="29">
        <f t="shared" si="13"/>
        <v>38.61353418</v>
      </c>
      <c r="S15" s="30">
        <f t="shared" si="14"/>
        <v>1286.095148</v>
      </c>
      <c r="T15" s="27">
        <f t="shared" si="15"/>
        <v>1286.095148</v>
      </c>
      <c r="U15" s="29">
        <f t="shared" si="16"/>
        <v>-94.5183859</v>
      </c>
      <c r="V15" s="27">
        <f t="shared" si="17"/>
        <v>1267.982602</v>
      </c>
      <c r="W15" s="27">
        <v>1420.3381004087673</v>
      </c>
      <c r="X15" s="27">
        <f t="shared" si="18"/>
        <v>134.2429521</v>
      </c>
      <c r="Y15" s="31">
        <f t="shared" si="19"/>
        <v>-0.002130056018</v>
      </c>
      <c r="Z15" s="32">
        <f t="shared" si="20"/>
        <v>-0.01408336428</v>
      </c>
      <c r="AA15" s="32">
        <f t="shared" si="21"/>
        <v>-22.40663256</v>
      </c>
      <c r="AB15" s="27">
        <f t="shared" si="22"/>
        <v>1304.206339</v>
      </c>
      <c r="AC15" s="27">
        <f t="shared" si="23"/>
        <v>1285.318629</v>
      </c>
      <c r="AD15" s="27">
        <f t="shared" si="24"/>
        <v>1266.436982</v>
      </c>
      <c r="AE15" s="29">
        <f t="shared" si="25"/>
        <v>1199.999457</v>
      </c>
    </row>
    <row r="16">
      <c r="A16" s="33">
        <v>2.611606032E9</v>
      </c>
      <c r="B16" s="34" t="s">
        <v>53</v>
      </c>
      <c r="C16" s="34">
        <v>6495.0</v>
      </c>
      <c r="D16" s="34">
        <v>7694.0</v>
      </c>
      <c r="E16" s="24">
        <f t="shared" si="1"/>
        <v>-1199</v>
      </c>
      <c r="F16" s="25">
        <f t="shared" si="2"/>
        <v>-0.1558357161</v>
      </c>
      <c r="G16" s="26">
        <f t="shared" si="3"/>
        <v>0.005036952271</v>
      </c>
      <c r="H16" s="27">
        <f t="shared" si="4"/>
        <v>7997.204379</v>
      </c>
      <c r="I16" s="27">
        <f t="shared" si="5"/>
        <v>8000.5741</v>
      </c>
      <c r="J16" s="28">
        <f t="shared" si="6"/>
        <v>0.004362222282</v>
      </c>
      <c r="K16" s="27">
        <f t="shared" si="7"/>
        <v>6925.930853</v>
      </c>
      <c r="L16" s="27">
        <f t="shared" si="8"/>
        <v>6928.849179</v>
      </c>
      <c r="M16" s="27">
        <f t="shared" si="9"/>
        <v>430.9308526</v>
      </c>
      <c r="N16" s="29">
        <f t="shared" si="10"/>
        <v>2.918326707</v>
      </c>
      <c r="O16" s="6">
        <f t="shared" si="11"/>
        <v>-0.01401816373</v>
      </c>
      <c r="P16" s="30">
        <f t="shared" si="12"/>
        <v>6314.180379</v>
      </c>
      <c r="Q16" s="27">
        <v>6680.997765520855</v>
      </c>
      <c r="R16" s="29">
        <f t="shared" si="13"/>
        <v>185.9977655</v>
      </c>
      <c r="S16" s="30">
        <f t="shared" si="14"/>
        <v>6225.667164</v>
      </c>
      <c r="T16" s="27">
        <f t="shared" si="15"/>
        <v>6225.667164</v>
      </c>
      <c r="U16" s="29">
        <f t="shared" si="16"/>
        <v>-455.3306014</v>
      </c>
      <c r="V16" s="27">
        <f t="shared" si="17"/>
        <v>6138.394742</v>
      </c>
      <c r="W16" s="27">
        <v>6872.321961954529</v>
      </c>
      <c r="X16" s="27">
        <f t="shared" si="18"/>
        <v>646.6547978</v>
      </c>
      <c r="Y16" s="31">
        <f t="shared" si="19"/>
        <v>-0.002130056018</v>
      </c>
      <c r="Z16" s="32">
        <f t="shared" si="20"/>
        <v>-0.01401816373</v>
      </c>
      <c r="AA16" s="32">
        <f t="shared" si="21"/>
        <v>-107.8557518</v>
      </c>
      <c r="AB16" s="27">
        <f t="shared" si="22"/>
        <v>6312.933522</v>
      </c>
      <c r="AC16" s="27">
        <f t="shared" si="23"/>
        <v>6221.944423</v>
      </c>
      <c r="AD16" s="27">
        <f t="shared" si="24"/>
        <v>6130.984668</v>
      </c>
      <c r="AE16" s="29">
        <f t="shared" si="25"/>
        <v>5808.933101</v>
      </c>
    </row>
    <row r="17">
      <c r="A17" s="33">
        <v>2.611606004E9</v>
      </c>
      <c r="B17" s="34" t="s">
        <v>54</v>
      </c>
      <c r="C17" s="34">
        <v>2081.0</v>
      </c>
      <c r="D17" s="34">
        <v>2459.0</v>
      </c>
      <c r="E17" s="24">
        <f t="shared" si="1"/>
        <v>-378</v>
      </c>
      <c r="F17" s="25">
        <f t="shared" si="2"/>
        <v>-0.1537210248</v>
      </c>
      <c r="G17" s="26">
        <f t="shared" si="3"/>
        <v>0.001609808375</v>
      </c>
      <c r="H17" s="27">
        <f t="shared" si="4"/>
        <v>2555.904025</v>
      </c>
      <c r="I17" s="27">
        <f t="shared" si="5"/>
        <v>2556.980987</v>
      </c>
      <c r="J17" s="28">
        <f t="shared" si="6"/>
        <v>0.001397657362</v>
      </c>
      <c r="K17" s="27">
        <f t="shared" si="7"/>
        <v>2219.070378</v>
      </c>
      <c r="L17" s="27">
        <f t="shared" si="8"/>
        <v>2220.005411</v>
      </c>
      <c r="M17" s="27">
        <f t="shared" si="9"/>
        <v>138.0703779</v>
      </c>
      <c r="N17" s="29">
        <f t="shared" si="10"/>
        <v>0.9350327754</v>
      </c>
      <c r="O17" s="6">
        <f t="shared" si="11"/>
        <v>-0.01381257015</v>
      </c>
      <c r="P17" s="30">
        <f t="shared" si="12"/>
        <v>2023.909111</v>
      </c>
      <c r="Q17" s="27">
        <v>2139.70132181682</v>
      </c>
      <c r="R17" s="29">
        <f t="shared" si="13"/>
        <v>58.70132182</v>
      </c>
      <c r="S17" s="30">
        <f t="shared" si="14"/>
        <v>1995.953724</v>
      </c>
      <c r="T17" s="27">
        <f t="shared" si="15"/>
        <v>1995.953724</v>
      </c>
      <c r="U17" s="29">
        <f t="shared" si="16"/>
        <v>-143.7475974</v>
      </c>
      <c r="V17" s="27">
        <f t="shared" si="17"/>
        <v>1968.384474</v>
      </c>
      <c r="W17" s="27">
        <v>2200.0585038849817</v>
      </c>
      <c r="X17" s="27">
        <f t="shared" si="18"/>
        <v>204.1047795</v>
      </c>
      <c r="Y17" s="31">
        <f t="shared" si="19"/>
        <v>-0.002130056018</v>
      </c>
      <c r="Z17" s="32">
        <f t="shared" si="20"/>
        <v>-0.01381257015</v>
      </c>
      <c r="AA17" s="32">
        <f t="shared" si="21"/>
        <v>-33.96511</v>
      </c>
      <c r="AB17" s="27">
        <f t="shared" si="22"/>
        <v>2023.521525</v>
      </c>
      <c r="AC17" s="27">
        <f t="shared" si="23"/>
        <v>1994.79643</v>
      </c>
      <c r="AD17" s="27">
        <f t="shared" si="24"/>
        <v>1966.080736</v>
      </c>
      <c r="AE17" s="29">
        <f t="shared" si="25"/>
        <v>1862.382275</v>
      </c>
    </row>
    <row r="18">
      <c r="A18" s="33">
        <v>2.611606056E9</v>
      </c>
      <c r="B18" s="34" t="s">
        <v>55</v>
      </c>
      <c r="C18" s="34">
        <v>2574.0</v>
      </c>
      <c r="D18" s="34">
        <v>3027.0</v>
      </c>
      <c r="E18" s="24">
        <f t="shared" si="1"/>
        <v>-453</v>
      </c>
      <c r="F18" s="25">
        <f t="shared" si="2"/>
        <v>-0.1496531219</v>
      </c>
      <c r="G18" s="26">
        <f t="shared" si="3"/>
        <v>0.001981655124</v>
      </c>
      <c r="H18" s="27">
        <f t="shared" si="4"/>
        <v>3146.287712</v>
      </c>
      <c r="I18" s="27">
        <f t="shared" si="5"/>
        <v>3147.613439</v>
      </c>
      <c r="J18" s="28">
        <f t="shared" si="6"/>
        <v>0.001728769847</v>
      </c>
      <c r="K18" s="27">
        <f t="shared" si="7"/>
        <v>2744.779987</v>
      </c>
      <c r="L18" s="27">
        <f t="shared" si="8"/>
        <v>2745.936534</v>
      </c>
      <c r="M18" s="27">
        <f t="shared" si="9"/>
        <v>170.7799868</v>
      </c>
      <c r="N18" s="29">
        <f t="shared" si="10"/>
        <v>1.156547027</v>
      </c>
      <c r="O18" s="6">
        <f t="shared" si="11"/>
        <v>-0.0134184031</v>
      </c>
      <c r="P18" s="30">
        <f t="shared" si="12"/>
        <v>2505.385519</v>
      </c>
      <c r="Q18" s="27">
        <v>2644.4936121147725</v>
      </c>
      <c r="R18" s="29">
        <f t="shared" si="13"/>
        <v>70.49361211</v>
      </c>
      <c r="S18" s="30">
        <f t="shared" si="14"/>
        <v>2471.767246</v>
      </c>
      <c r="T18" s="27">
        <f t="shared" si="15"/>
        <v>2471.767246</v>
      </c>
      <c r="U18" s="29">
        <f t="shared" si="16"/>
        <v>-172.7263663</v>
      </c>
      <c r="V18" s="27">
        <f t="shared" si="17"/>
        <v>2438.600077</v>
      </c>
      <c r="W18" s="27">
        <v>2716.9178183822214</v>
      </c>
      <c r="X18" s="27">
        <f t="shared" si="18"/>
        <v>245.1505725</v>
      </c>
      <c r="Y18" s="31">
        <f t="shared" si="19"/>
        <v>-0.002130056018</v>
      </c>
      <c r="Z18" s="32">
        <f t="shared" si="20"/>
        <v>-0.0134184031</v>
      </c>
      <c r="AA18" s="32">
        <f t="shared" si="21"/>
        <v>-40.61750618</v>
      </c>
      <c r="AB18" s="27">
        <f t="shared" si="22"/>
        <v>2504.933739</v>
      </c>
      <c r="AC18" s="27">
        <f t="shared" si="23"/>
        <v>2470.418102</v>
      </c>
      <c r="AD18" s="27">
        <f t="shared" si="24"/>
        <v>2435.914094</v>
      </c>
      <c r="AE18" s="29">
        <f t="shared" si="25"/>
        <v>2306.432284</v>
      </c>
    </row>
    <row r="19">
      <c r="A19" s="33">
        <v>2.611606067E9</v>
      </c>
      <c r="B19" s="34" t="s">
        <v>56</v>
      </c>
      <c r="C19" s="34">
        <v>10642.0</v>
      </c>
      <c r="D19" s="34">
        <v>12415.0</v>
      </c>
      <c r="E19" s="24">
        <f t="shared" si="1"/>
        <v>-1773</v>
      </c>
      <c r="F19" s="25">
        <f t="shared" si="2"/>
        <v>-0.1428111156</v>
      </c>
      <c r="G19" s="26">
        <f t="shared" si="3"/>
        <v>0.008127601045</v>
      </c>
      <c r="H19" s="27">
        <f t="shared" si="4"/>
        <v>12904.24907</v>
      </c>
      <c r="I19" s="27">
        <f t="shared" si="5"/>
        <v>12909.68644</v>
      </c>
      <c r="J19" s="28">
        <f t="shared" si="6"/>
        <v>0.00714746259</v>
      </c>
      <c r="K19" s="27">
        <f t="shared" si="7"/>
        <v>11348.07639</v>
      </c>
      <c r="L19" s="27">
        <f t="shared" si="8"/>
        <v>11352.85804</v>
      </c>
      <c r="M19" s="27">
        <f t="shared" si="9"/>
        <v>706.0763869</v>
      </c>
      <c r="N19" s="29">
        <f t="shared" si="10"/>
        <v>4.781652473</v>
      </c>
      <c r="O19" s="6">
        <f t="shared" si="11"/>
        <v>-0.01275931606</v>
      </c>
      <c r="P19" s="30">
        <f t="shared" si="12"/>
        <v>10372.16324</v>
      </c>
      <c r="Q19" s="27">
        <v>10918.856695688572</v>
      </c>
      <c r="R19" s="29">
        <f t="shared" si="13"/>
        <v>276.8566957</v>
      </c>
      <c r="S19" s="30">
        <f t="shared" si="14"/>
        <v>10239.82153</v>
      </c>
      <c r="T19" s="27">
        <f t="shared" si="15"/>
        <v>10239.82153</v>
      </c>
      <c r="U19" s="29">
        <f t="shared" si="16"/>
        <v>-679.0351685</v>
      </c>
      <c r="V19" s="27">
        <f t="shared" si="17"/>
        <v>10109.16841</v>
      </c>
      <c r="W19" s="27">
        <v>11202.91595010178</v>
      </c>
      <c r="X19" s="27">
        <f t="shared" si="18"/>
        <v>963.0944229</v>
      </c>
      <c r="Y19" s="31">
        <f t="shared" si="19"/>
        <v>-0.002130056018</v>
      </c>
      <c r="Z19" s="32">
        <f t="shared" si="20"/>
        <v>-0.01275931606</v>
      </c>
      <c r="AA19" s="32">
        <f t="shared" si="21"/>
        <v>-158.4069089</v>
      </c>
      <c r="AB19" s="27">
        <f t="shared" si="22"/>
        <v>10370.479</v>
      </c>
      <c r="AC19" s="27">
        <f t="shared" si="23"/>
        <v>10234.79083</v>
      </c>
      <c r="AD19" s="27">
        <f t="shared" si="24"/>
        <v>10099.15073</v>
      </c>
      <c r="AE19" s="29">
        <f t="shared" si="25"/>
        <v>9555.407629</v>
      </c>
    </row>
    <row r="20">
      <c r="A20" s="33">
        <v>2.611606081E9</v>
      </c>
      <c r="B20" s="34" t="s">
        <v>57</v>
      </c>
      <c r="C20" s="34">
        <v>2074.0</v>
      </c>
      <c r="D20" s="34">
        <v>2419.0</v>
      </c>
      <c r="E20" s="24">
        <f t="shared" si="1"/>
        <v>-345</v>
      </c>
      <c r="F20" s="25">
        <f t="shared" si="2"/>
        <v>-0.1426209177</v>
      </c>
      <c r="G20" s="26">
        <f t="shared" si="3"/>
        <v>0.001583621984</v>
      </c>
      <c r="H20" s="27">
        <f t="shared" si="4"/>
        <v>2514.327709</v>
      </c>
      <c r="I20" s="27">
        <f t="shared" si="5"/>
        <v>2515.387152</v>
      </c>
      <c r="J20" s="28">
        <f t="shared" si="6"/>
        <v>0.001392955968</v>
      </c>
      <c r="K20" s="27">
        <f t="shared" si="7"/>
        <v>2211.605941</v>
      </c>
      <c r="L20" s="27">
        <f t="shared" si="8"/>
        <v>2212.537829</v>
      </c>
      <c r="M20" s="27">
        <f t="shared" si="9"/>
        <v>137.6059412</v>
      </c>
      <c r="N20" s="29">
        <f t="shared" si="10"/>
        <v>0.9318875426</v>
      </c>
      <c r="O20" s="6">
        <f t="shared" si="11"/>
        <v>-0.01274106338</v>
      </c>
      <c r="P20" s="30">
        <f t="shared" si="12"/>
        <v>2021.486751</v>
      </c>
      <c r="Q20" s="27">
        <v>2127.877413631889</v>
      </c>
      <c r="R20" s="29">
        <f t="shared" si="13"/>
        <v>53.87741363</v>
      </c>
      <c r="S20" s="30">
        <f t="shared" si="14"/>
        <v>1995.73086</v>
      </c>
      <c r="T20" s="27">
        <f t="shared" si="15"/>
        <v>1995.73086</v>
      </c>
      <c r="U20" s="29">
        <f t="shared" si="16"/>
        <v>-132.1465532</v>
      </c>
      <c r="V20" s="27">
        <f t="shared" si="17"/>
        <v>1970.303127</v>
      </c>
      <c r="W20" s="27">
        <v>2183.1544298190634</v>
      </c>
      <c r="X20" s="27">
        <f t="shared" si="18"/>
        <v>187.4235694</v>
      </c>
      <c r="Y20" s="31">
        <f t="shared" si="19"/>
        <v>-0.002130056018</v>
      </c>
      <c r="Z20" s="32">
        <f t="shared" si="20"/>
        <v>-0.01274106338</v>
      </c>
      <c r="AA20" s="32">
        <f t="shared" si="21"/>
        <v>-30.82063231</v>
      </c>
      <c r="AB20" s="27">
        <f t="shared" si="22"/>
        <v>2021.159479</v>
      </c>
      <c r="AC20" s="27">
        <f t="shared" si="23"/>
        <v>1994.753314</v>
      </c>
      <c r="AD20" s="27">
        <f t="shared" si="24"/>
        <v>1968.356518</v>
      </c>
      <c r="AE20" s="29">
        <f t="shared" si="25"/>
        <v>1862.342021</v>
      </c>
    </row>
    <row r="21" ht="15.75" customHeight="1">
      <c r="A21" s="33">
        <v>2.611606049E9</v>
      </c>
      <c r="B21" s="34" t="s">
        <v>58</v>
      </c>
      <c r="C21" s="35">
        <v>26631.0</v>
      </c>
      <c r="D21" s="34">
        <v>31016.0</v>
      </c>
      <c r="E21" s="24">
        <f t="shared" si="1"/>
        <v>-4385</v>
      </c>
      <c r="F21" s="25">
        <f t="shared" si="2"/>
        <v>-0.1413786433</v>
      </c>
      <c r="G21" s="26">
        <f t="shared" si="3"/>
        <v>0.02030492743</v>
      </c>
      <c r="H21" s="27">
        <f t="shared" si="4"/>
        <v>32238.27541</v>
      </c>
      <c r="I21" s="27">
        <f t="shared" si="5"/>
        <v>32251.85941</v>
      </c>
      <c r="J21" s="28">
        <f t="shared" si="6"/>
        <v>0.0178861188</v>
      </c>
      <c r="K21" s="27">
        <f t="shared" si="7"/>
        <v>28397.91602</v>
      </c>
      <c r="L21" s="27">
        <f t="shared" si="8"/>
        <v>28409.88183</v>
      </c>
      <c r="M21" s="27">
        <f t="shared" si="9"/>
        <v>1766.916018</v>
      </c>
      <c r="N21" s="29">
        <f t="shared" si="10"/>
        <v>11.96581348</v>
      </c>
      <c r="O21" s="6">
        <f t="shared" si="11"/>
        <v>-0.01262193746</v>
      </c>
      <c r="P21" s="30">
        <f t="shared" si="12"/>
        <v>25962.97304</v>
      </c>
      <c r="Q21" s="27">
        <v>27316.21528528747</v>
      </c>
      <c r="R21" s="29">
        <f t="shared" si="13"/>
        <v>685.2152853</v>
      </c>
      <c r="S21" s="30">
        <f t="shared" si="14"/>
        <v>25635.27002</v>
      </c>
      <c r="T21" s="27">
        <f t="shared" si="15"/>
        <v>25635.27002</v>
      </c>
      <c r="U21" s="29">
        <f t="shared" si="16"/>
        <v>-1680.945267</v>
      </c>
      <c r="V21" s="27">
        <f t="shared" si="17"/>
        <v>25311.70324</v>
      </c>
      <c r="W21" s="27">
        <v>28019.061150995938</v>
      </c>
      <c r="X21" s="27">
        <f t="shared" si="18"/>
        <v>2383.791133</v>
      </c>
      <c r="Y21" s="31">
        <f t="shared" si="19"/>
        <v>-0.002130056018</v>
      </c>
      <c r="Z21" s="32">
        <f t="shared" si="20"/>
        <v>-0.01262193746</v>
      </c>
      <c r="AA21" s="32">
        <f t="shared" si="21"/>
        <v>-391.4820122</v>
      </c>
      <c r="AB21" s="27">
        <f t="shared" si="22"/>
        <v>25958.8512</v>
      </c>
      <c r="AC21" s="27">
        <f t="shared" si="23"/>
        <v>25622.95778</v>
      </c>
      <c r="AD21" s="27">
        <f t="shared" si="24"/>
        <v>25287.18468</v>
      </c>
      <c r="AE21" s="29">
        <f t="shared" si="25"/>
        <v>23922.1114</v>
      </c>
    </row>
    <row r="22" ht="15.75" customHeight="1">
      <c r="A22" s="33">
        <v>2.611606031E9</v>
      </c>
      <c r="B22" s="34" t="s">
        <v>59</v>
      </c>
      <c r="C22" s="34">
        <v>6620.0</v>
      </c>
      <c r="D22" s="34">
        <v>7703.0</v>
      </c>
      <c r="E22" s="24">
        <f t="shared" si="1"/>
        <v>-1083</v>
      </c>
      <c r="F22" s="25">
        <f t="shared" si="2"/>
        <v>-0.1405945735</v>
      </c>
      <c r="G22" s="26">
        <f t="shared" si="3"/>
        <v>0.005042844209</v>
      </c>
      <c r="H22" s="27">
        <f t="shared" si="4"/>
        <v>8006.55905</v>
      </c>
      <c r="I22" s="27">
        <f t="shared" si="5"/>
        <v>8009.932713</v>
      </c>
      <c r="J22" s="28">
        <f t="shared" si="6"/>
        <v>0.004446175752</v>
      </c>
      <c r="K22" s="27">
        <f t="shared" si="7"/>
        <v>7059.224364</v>
      </c>
      <c r="L22" s="27">
        <f t="shared" si="8"/>
        <v>7062.198856</v>
      </c>
      <c r="M22" s="27">
        <f t="shared" si="9"/>
        <v>439.224364</v>
      </c>
      <c r="N22" s="29">
        <f t="shared" si="10"/>
        <v>2.974491578</v>
      </c>
      <c r="O22" s="6">
        <f t="shared" si="11"/>
        <v>-0.01254683165</v>
      </c>
      <c r="P22" s="30">
        <f t="shared" si="12"/>
        <v>6454.922089</v>
      </c>
      <c r="Q22" s="27">
        <v>6789.299606536735</v>
      </c>
      <c r="R22" s="29">
        <f t="shared" si="13"/>
        <v>169.2996065</v>
      </c>
      <c r="S22" s="30">
        <f t="shared" si="14"/>
        <v>6373.933268</v>
      </c>
      <c r="T22" s="27">
        <f t="shared" si="15"/>
        <v>6373.933268</v>
      </c>
      <c r="U22" s="29">
        <f t="shared" si="16"/>
        <v>-415.3663382</v>
      </c>
      <c r="V22" s="27">
        <f t="shared" si="17"/>
        <v>6293.960601</v>
      </c>
      <c r="W22" s="27">
        <v>6962.928874217502</v>
      </c>
      <c r="X22" s="27">
        <f t="shared" si="18"/>
        <v>588.9956058</v>
      </c>
      <c r="Y22" s="31">
        <f t="shared" si="19"/>
        <v>-0.002130056018</v>
      </c>
      <c r="Z22" s="32">
        <f t="shared" si="20"/>
        <v>-0.01254683165</v>
      </c>
      <c r="AA22" s="32">
        <f t="shared" si="21"/>
        <v>-96.64824418</v>
      </c>
      <c r="AB22" s="27">
        <f t="shared" si="22"/>
        <v>6453.909985</v>
      </c>
      <c r="AC22" s="27">
        <f t="shared" si="23"/>
        <v>6370.909967</v>
      </c>
      <c r="AD22" s="27">
        <f t="shared" si="24"/>
        <v>6287.939857</v>
      </c>
      <c r="AE22" s="29">
        <f t="shared" si="25"/>
        <v>5948.010345</v>
      </c>
    </row>
    <row r="23" ht="15.75" customHeight="1">
      <c r="A23" s="33">
        <v>2.611606015E9</v>
      </c>
      <c r="B23" s="34" t="s">
        <v>60</v>
      </c>
      <c r="C23" s="34">
        <v>4990.0</v>
      </c>
      <c r="D23" s="34">
        <v>5768.0</v>
      </c>
      <c r="E23" s="24">
        <f t="shared" si="1"/>
        <v>-778</v>
      </c>
      <c r="F23" s="25">
        <f t="shared" si="2"/>
        <v>-0.1348821082</v>
      </c>
      <c r="G23" s="26">
        <f t="shared" si="3"/>
        <v>0.003776077554</v>
      </c>
      <c r="H23" s="27">
        <f t="shared" si="4"/>
        <v>5995.304764</v>
      </c>
      <c r="I23" s="27">
        <f t="shared" si="5"/>
        <v>5997.83096</v>
      </c>
      <c r="J23" s="28">
        <f t="shared" si="6"/>
        <v>0.003351422508</v>
      </c>
      <c r="K23" s="27">
        <f t="shared" si="7"/>
        <v>5321.076975</v>
      </c>
      <c r="L23" s="27">
        <f t="shared" si="8"/>
        <v>5323.319077</v>
      </c>
      <c r="M23" s="27">
        <f t="shared" si="9"/>
        <v>331.0769753</v>
      </c>
      <c r="N23" s="29">
        <f t="shared" si="10"/>
        <v>2.242101658</v>
      </c>
      <c r="O23" s="6">
        <f t="shared" si="11"/>
        <v>-0.01200152443</v>
      </c>
      <c r="P23" s="30">
        <f t="shared" si="12"/>
        <v>4870.943529</v>
      </c>
      <c r="Q23" s="27">
        <v>5111.9664707987795</v>
      </c>
      <c r="R23" s="29">
        <f t="shared" si="13"/>
        <v>121.9664708</v>
      </c>
      <c r="S23" s="30">
        <f t="shared" si="14"/>
        <v>4812.484781</v>
      </c>
      <c r="T23" s="27">
        <f t="shared" si="15"/>
        <v>4812.484781</v>
      </c>
      <c r="U23" s="29">
        <f t="shared" si="16"/>
        <v>-299.4816899</v>
      </c>
      <c r="V23" s="27">
        <f t="shared" si="17"/>
        <v>4754.727627</v>
      </c>
      <c r="W23" s="27">
        <v>5236.914067849885</v>
      </c>
      <c r="X23" s="27">
        <f t="shared" si="18"/>
        <v>424.4292869</v>
      </c>
      <c r="Y23" s="31">
        <f t="shared" si="19"/>
        <v>-0.002130056018</v>
      </c>
      <c r="Z23" s="32">
        <f t="shared" si="20"/>
        <v>-0.01200152443</v>
      </c>
      <c r="AA23" s="32">
        <f t="shared" si="21"/>
        <v>-69.22479294</v>
      </c>
      <c r="AB23" s="27">
        <f t="shared" si="22"/>
        <v>4870.247426</v>
      </c>
      <c r="AC23" s="27">
        <f t="shared" si="23"/>
        <v>4810.405052</v>
      </c>
      <c r="AD23" s="27">
        <f t="shared" si="24"/>
        <v>4750.585221</v>
      </c>
      <c r="AE23" s="29">
        <f t="shared" si="25"/>
        <v>4491.091408</v>
      </c>
    </row>
    <row r="24" ht="15.75" customHeight="1">
      <c r="A24" s="33">
        <v>2.611606075E9</v>
      </c>
      <c r="B24" s="34" t="s">
        <v>61</v>
      </c>
      <c r="C24" s="34">
        <v>31457.0</v>
      </c>
      <c r="D24" s="34">
        <v>36205.0</v>
      </c>
      <c r="E24" s="24">
        <f t="shared" si="1"/>
        <v>-4748</v>
      </c>
      <c r="F24" s="25">
        <f t="shared" si="2"/>
        <v>-0.1311421074</v>
      </c>
      <c r="G24" s="26">
        <f t="shared" si="3"/>
        <v>0.02370195697</v>
      </c>
      <c r="H24" s="27">
        <f t="shared" si="4"/>
        <v>37631.763</v>
      </c>
      <c r="I24" s="27">
        <f t="shared" si="5"/>
        <v>37647.61961</v>
      </c>
      <c r="J24" s="28">
        <f t="shared" si="6"/>
        <v>0.02112739435</v>
      </c>
      <c r="K24" s="27">
        <f t="shared" si="7"/>
        <v>33544.11191</v>
      </c>
      <c r="L24" s="27">
        <f t="shared" si="8"/>
        <v>33558.24613</v>
      </c>
      <c r="M24" s="27">
        <f t="shared" si="9"/>
        <v>2087.111906</v>
      </c>
      <c r="N24" s="29">
        <f t="shared" si="10"/>
        <v>14.13422682</v>
      </c>
      <c r="O24" s="6">
        <f t="shared" si="11"/>
        <v>-0.01164629216</v>
      </c>
      <c r="P24" s="30">
        <f t="shared" si="12"/>
        <v>30728.55188</v>
      </c>
      <c r="Q24" s="27">
        <v>32202.7166408823</v>
      </c>
      <c r="R24" s="29">
        <f t="shared" si="13"/>
        <v>745.7166409</v>
      </c>
      <c r="S24" s="30">
        <f t="shared" si="14"/>
        <v>30370.67819</v>
      </c>
      <c r="T24" s="27">
        <f t="shared" si="15"/>
        <v>30370.67819</v>
      </c>
      <c r="U24" s="29">
        <f t="shared" si="16"/>
        <v>-1832.038453</v>
      </c>
      <c r="V24" s="27">
        <f t="shared" si="17"/>
        <v>30016.9724</v>
      </c>
      <c r="W24" s="27">
        <v>32966.111169309144</v>
      </c>
      <c r="X24" s="27">
        <f t="shared" si="18"/>
        <v>2595.432981</v>
      </c>
      <c r="Y24" s="31">
        <f t="shared" si="19"/>
        <v>-0.002130056018</v>
      </c>
      <c r="Z24" s="32">
        <f t="shared" si="20"/>
        <v>-0.01164629216</v>
      </c>
      <c r="AA24" s="32">
        <f t="shared" si="21"/>
        <v>-421.6540075</v>
      </c>
      <c r="AB24" s="27">
        <f t="shared" si="22"/>
        <v>30724.4279</v>
      </c>
      <c r="AC24" s="27">
        <f t="shared" si="23"/>
        <v>30358.35563</v>
      </c>
      <c r="AD24" s="27">
        <f t="shared" si="24"/>
        <v>29992.42548</v>
      </c>
      <c r="AE24" s="29">
        <f t="shared" si="25"/>
        <v>28343.17457</v>
      </c>
    </row>
    <row r="25" ht="15.75" customHeight="1">
      <c r="A25" s="33">
        <v>2.611606065E9</v>
      </c>
      <c r="B25" s="34" t="s">
        <v>62</v>
      </c>
      <c r="C25" s="34">
        <v>7060.0</v>
      </c>
      <c r="D25" s="34">
        <v>8096.0</v>
      </c>
      <c r="E25" s="24">
        <f t="shared" si="1"/>
        <v>-1036</v>
      </c>
      <c r="F25" s="25">
        <f t="shared" si="2"/>
        <v>-0.1279644269</v>
      </c>
      <c r="G25" s="26">
        <f t="shared" si="3"/>
        <v>0.005300125498</v>
      </c>
      <c r="H25" s="27">
        <f t="shared" si="4"/>
        <v>8415.046354</v>
      </c>
      <c r="I25" s="27">
        <f t="shared" si="5"/>
        <v>8418.592138</v>
      </c>
      <c r="J25" s="28">
        <f t="shared" si="6"/>
        <v>0.004741691965</v>
      </c>
      <c r="K25" s="27">
        <f t="shared" si="7"/>
        <v>7528.417524</v>
      </c>
      <c r="L25" s="27">
        <f t="shared" si="8"/>
        <v>7531.589716</v>
      </c>
      <c r="M25" s="27">
        <f t="shared" si="9"/>
        <v>468.4175241</v>
      </c>
      <c r="N25" s="29">
        <f t="shared" si="10"/>
        <v>3.172191924</v>
      </c>
      <c r="O25" s="6">
        <f t="shared" si="11"/>
        <v>-0.01134556979</v>
      </c>
      <c r="P25" s="30">
        <f t="shared" si="12"/>
        <v>6900.709332</v>
      </c>
      <c r="Q25" s="27">
        <v>7222.967611729633</v>
      </c>
      <c r="R25" s="29">
        <f t="shared" si="13"/>
        <v>162.9676117</v>
      </c>
      <c r="S25" s="30">
        <f t="shared" si="14"/>
        <v>6822.416852</v>
      </c>
      <c r="T25" s="27">
        <f t="shared" si="15"/>
        <v>6822.416852</v>
      </c>
      <c r="U25" s="29">
        <f t="shared" si="16"/>
        <v>-400.5507595</v>
      </c>
      <c r="V25" s="27">
        <f t="shared" si="17"/>
        <v>6745.012646</v>
      </c>
      <c r="W25" s="27">
        <v>7389.697042506414</v>
      </c>
      <c r="X25" s="27">
        <f t="shared" si="18"/>
        <v>567.2801902</v>
      </c>
      <c r="Y25" s="31">
        <f t="shared" si="19"/>
        <v>-0.002130056018</v>
      </c>
      <c r="Z25" s="32">
        <f t="shared" si="20"/>
        <v>-0.01134556979</v>
      </c>
      <c r="AA25" s="32">
        <f t="shared" si="21"/>
        <v>-91.853733</v>
      </c>
      <c r="AB25" s="27">
        <f t="shared" si="22"/>
        <v>6899.832587</v>
      </c>
      <c r="AC25" s="27">
        <f t="shared" si="23"/>
        <v>6819.79686</v>
      </c>
      <c r="AD25" s="27">
        <f t="shared" si="24"/>
        <v>6739.79303</v>
      </c>
      <c r="AE25" s="29">
        <f t="shared" si="25"/>
        <v>6367.100223</v>
      </c>
    </row>
    <row r="26" ht="15.75" customHeight="1">
      <c r="A26" s="33">
        <v>2.611606082E9</v>
      </c>
      <c r="B26" s="34" t="s">
        <v>63</v>
      </c>
      <c r="C26" s="34">
        <v>9427.0</v>
      </c>
      <c r="D26" s="34">
        <v>10793.0</v>
      </c>
      <c r="E26" s="24">
        <f t="shared" si="1"/>
        <v>-1366</v>
      </c>
      <c r="F26" s="25">
        <f t="shared" si="2"/>
        <v>-0.1265635134</v>
      </c>
      <c r="G26" s="26">
        <f t="shared" si="3"/>
        <v>0.007065742898</v>
      </c>
      <c r="H26" s="27">
        <f t="shared" si="4"/>
        <v>11218.32946</v>
      </c>
      <c r="I26" s="27">
        <f t="shared" si="5"/>
        <v>11223.05644</v>
      </c>
      <c r="J26" s="28">
        <f t="shared" si="6"/>
        <v>0.006331434866</v>
      </c>
      <c r="K26" s="27">
        <f t="shared" si="7"/>
        <v>10052.46346</v>
      </c>
      <c r="L26" s="27">
        <f t="shared" si="8"/>
        <v>10056.69919</v>
      </c>
      <c r="M26" s="27">
        <f t="shared" si="9"/>
        <v>625.4634561</v>
      </c>
      <c r="N26" s="29">
        <f t="shared" si="10"/>
        <v>4.235729925</v>
      </c>
      <c r="O26" s="6">
        <f t="shared" si="11"/>
        <v>-0.01121331213</v>
      </c>
      <c r="P26" s="30">
        <f t="shared" si="12"/>
        <v>9216.769549</v>
      </c>
      <c r="Q26" s="27">
        <v>9642.025715268686</v>
      </c>
      <c r="R26" s="29">
        <f t="shared" si="13"/>
        <v>215.0257153</v>
      </c>
      <c r="S26" s="30">
        <f t="shared" si="14"/>
        <v>9113.419035</v>
      </c>
      <c r="T26" s="27">
        <f t="shared" si="15"/>
        <v>9113.419035</v>
      </c>
      <c r="U26" s="29">
        <f t="shared" si="16"/>
        <v>-528.6066804</v>
      </c>
      <c r="V26" s="27">
        <f t="shared" si="17"/>
        <v>9011.227423</v>
      </c>
      <c r="W26" s="27">
        <v>9861.956072335062</v>
      </c>
      <c r="X26" s="27">
        <f t="shared" si="18"/>
        <v>748.5370375</v>
      </c>
      <c r="Y26" s="31">
        <f t="shared" si="19"/>
        <v>-0.002130056018</v>
      </c>
      <c r="Z26" s="32">
        <f t="shared" si="20"/>
        <v>-0.01121331213</v>
      </c>
      <c r="AA26" s="32">
        <f t="shared" si="21"/>
        <v>-121.0252778</v>
      </c>
      <c r="AB26" s="27">
        <f t="shared" si="22"/>
        <v>9215.626985</v>
      </c>
      <c r="AC26" s="27">
        <f t="shared" si="23"/>
        <v>9110.004543</v>
      </c>
      <c r="AD26" s="27">
        <f t="shared" si="24"/>
        <v>9004.424692</v>
      </c>
      <c r="AE26" s="29">
        <f t="shared" si="25"/>
        <v>8505.284417</v>
      </c>
    </row>
    <row r="27" ht="15.75" customHeight="1">
      <c r="A27" s="33">
        <v>2.611606042E9</v>
      </c>
      <c r="B27" s="34" t="s">
        <v>64</v>
      </c>
      <c r="C27" s="34">
        <v>8086.0</v>
      </c>
      <c r="D27" s="34">
        <v>9246.0</v>
      </c>
      <c r="E27" s="24">
        <f t="shared" si="1"/>
        <v>-1160</v>
      </c>
      <c r="F27" s="25">
        <f t="shared" si="2"/>
        <v>-0.1254596582</v>
      </c>
      <c r="G27" s="26">
        <f t="shared" si="3"/>
        <v>0.006052984234</v>
      </c>
      <c r="H27" s="27">
        <f t="shared" si="4"/>
        <v>9610.365439</v>
      </c>
      <c r="I27" s="27">
        <f t="shared" si="5"/>
        <v>9614.414885</v>
      </c>
      <c r="J27" s="28">
        <f t="shared" si="6"/>
        <v>0.005430782043</v>
      </c>
      <c r="K27" s="27">
        <f t="shared" si="7"/>
        <v>8622.490666</v>
      </c>
      <c r="L27" s="27">
        <f t="shared" si="8"/>
        <v>8626.123859</v>
      </c>
      <c r="M27" s="27">
        <f t="shared" si="9"/>
        <v>536.4906657</v>
      </c>
      <c r="N27" s="29">
        <f t="shared" si="10"/>
        <v>3.633193187</v>
      </c>
      <c r="O27" s="6">
        <f t="shared" si="11"/>
        <v>-0.01110923611</v>
      </c>
      <c r="P27" s="30">
        <f t="shared" si="12"/>
        <v>7907.339368</v>
      </c>
      <c r="Q27" s="27">
        <v>8268.697339768065</v>
      </c>
      <c r="R27" s="29">
        <f t="shared" si="13"/>
        <v>182.6973398</v>
      </c>
      <c r="S27" s="30">
        <f t="shared" si="14"/>
        <v>7819.494868</v>
      </c>
      <c r="T27" s="27">
        <f t="shared" si="15"/>
        <v>7819.494868</v>
      </c>
      <c r="U27" s="29">
        <f t="shared" si="16"/>
        <v>-449.2024714</v>
      </c>
      <c r="V27" s="27">
        <f t="shared" si="17"/>
        <v>7732.626254</v>
      </c>
      <c r="W27" s="27">
        <v>8455.522594198304</v>
      </c>
      <c r="X27" s="27">
        <f t="shared" si="18"/>
        <v>636.0277258</v>
      </c>
      <c r="Y27" s="31">
        <f t="shared" si="19"/>
        <v>-0.002130056018</v>
      </c>
      <c r="Z27" s="32">
        <f t="shared" si="20"/>
        <v>-0.01110923611</v>
      </c>
      <c r="AA27" s="32">
        <f t="shared" si="21"/>
        <v>-102.7159971</v>
      </c>
      <c r="AB27" s="27">
        <f t="shared" si="22"/>
        <v>7906.378121</v>
      </c>
      <c r="AC27" s="27">
        <f t="shared" si="23"/>
        <v>7816.622134</v>
      </c>
      <c r="AD27" s="27">
        <f t="shared" si="24"/>
        <v>7726.902679</v>
      </c>
      <c r="AE27" s="29">
        <f t="shared" si="25"/>
        <v>7297.756452</v>
      </c>
    </row>
    <row r="28" ht="15.75" customHeight="1">
      <c r="A28" s="33">
        <v>2.611606021E9</v>
      </c>
      <c r="B28" s="34" t="s">
        <v>65</v>
      </c>
      <c r="C28" s="34">
        <v>12797.0</v>
      </c>
      <c r="D28" s="34">
        <v>14491.0</v>
      </c>
      <c r="E28" s="24">
        <f t="shared" si="1"/>
        <v>-1694</v>
      </c>
      <c r="F28" s="25">
        <f t="shared" si="2"/>
        <v>-0.1169001449</v>
      </c>
      <c r="G28" s="26">
        <f t="shared" si="3"/>
        <v>0.009486674728</v>
      </c>
      <c r="H28" s="27">
        <f t="shared" si="4"/>
        <v>15062.05987</v>
      </c>
      <c r="I28" s="27">
        <f t="shared" si="5"/>
        <v>15068.40646</v>
      </c>
      <c r="J28" s="28">
        <f t="shared" si="6"/>
        <v>0.008594820407</v>
      </c>
      <c r="K28" s="27">
        <f t="shared" si="7"/>
        <v>13646.05652</v>
      </c>
      <c r="L28" s="27">
        <f t="shared" si="8"/>
        <v>13651.80646</v>
      </c>
      <c r="M28" s="27">
        <f t="shared" si="9"/>
        <v>849.0565235</v>
      </c>
      <c r="N28" s="29">
        <f t="shared" si="10"/>
        <v>5.749934852</v>
      </c>
      <c r="O28" s="6">
        <f t="shared" si="11"/>
        <v>-0.01030627251</v>
      </c>
      <c r="P28" s="30">
        <f t="shared" si="12"/>
        <v>12534.58055</v>
      </c>
      <c r="Q28" s="27">
        <v>13064.913369550713</v>
      </c>
      <c r="R28" s="29">
        <f t="shared" si="13"/>
        <v>267.9133696</v>
      </c>
      <c r="S28" s="30">
        <f t="shared" si="14"/>
        <v>12405.39575</v>
      </c>
      <c r="T28" s="27">
        <f t="shared" si="15"/>
        <v>12405.39575</v>
      </c>
      <c r="U28" s="29">
        <f t="shared" si="16"/>
        <v>-659.5176232</v>
      </c>
      <c r="V28" s="27">
        <f t="shared" si="17"/>
        <v>12277.54236</v>
      </c>
      <c r="W28" s="27">
        <v>13338.435676632413</v>
      </c>
      <c r="X28" s="27">
        <f t="shared" si="18"/>
        <v>933.0399302</v>
      </c>
      <c r="Y28" s="31">
        <f t="shared" si="19"/>
        <v>-0.002130056018</v>
      </c>
      <c r="Z28" s="32">
        <f t="shared" si="20"/>
        <v>-0.01030627251</v>
      </c>
      <c r="AA28" s="32">
        <f t="shared" si="21"/>
        <v>-149.3481949</v>
      </c>
      <c r="AB28" s="27">
        <f t="shared" si="22"/>
        <v>12533.27932</v>
      </c>
      <c r="AC28" s="27">
        <f t="shared" si="23"/>
        <v>12401.50595</v>
      </c>
      <c r="AD28" s="27">
        <f t="shared" si="24"/>
        <v>12269.7904</v>
      </c>
      <c r="AE28" s="29">
        <f t="shared" si="25"/>
        <v>11578.29668</v>
      </c>
    </row>
    <row r="29" ht="15.75" customHeight="1">
      <c r="A29" s="33">
        <v>2.611606078E9</v>
      </c>
      <c r="B29" s="34" t="s">
        <v>66</v>
      </c>
      <c r="C29" s="34">
        <v>26740.0</v>
      </c>
      <c r="D29" s="34">
        <v>29892.0</v>
      </c>
      <c r="E29" s="24">
        <f t="shared" si="1"/>
        <v>-3152</v>
      </c>
      <c r="F29" s="25">
        <f t="shared" si="2"/>
        <v>-0.1054462733</v>
      </c>
      <c r="G29" s="26">
        <f t="shared" si="3"/>
        <v>0.01956908985</v>
      </c>
      <c r="H29" s="27">
        <f t="shared" si="4"/>
        <v>31069.98093</v>
      </c>
      <c r="I29" s="27">
        <f t="shared" si="5"/>
        <v>31083.07265</v>
      </c>
      <c r="J29" s="28">
        <f t="shared" si="6"/>
        <v>0.01795932622</v>
      </c>
      <c r="K29" s="27">
        <f t="shared" si="7"/>
        <v>28514.14796</v>
      </c>
      <c r="L29" s="27">
        <f t="shared" si="8"/>
        <v>28526.16275</v>
      </c>
      <c r="M29" s="27">
        <f t="shared" si="9"/>
        <v>1774.14796</v>
      </c>
      <c r="N29" s="29">
        <f t="shared" si="10"/>
        <v>12.01478924</v>
      </c>
      <c r="O29" s="6">
        <f t="shared" si="11"/>
        <v>-0.009242879079</v>
      </c>
      <c r="P29" s="30">
        <f t="shared" si="12"/>
        <v>26247.97525</v>
      </c>
      <c r="Q29" s="27">
        <v>27241.247878223283</v>
      </c>
      <c r="R29" s="29">
        <f t="shared" si="13"/>
        <v>501.2478782</v>
      </c>
      <c r="S29" s="30">
        <f t="shared" si="14"/>
        <v>26005.36839</v>
      </c>
      <c r="T29" s="27">
        <f t="shared" si="15"/>
        <v>26005.36839</v>
      </c>
      <c r="U29" s="29">
        <f t="shared" si="16"/>
        <v>-1235.879493</v>
      </c>
      <c r="V29" s="27">
        <f t="shared" si="17"/>
        <v>25765.00391</v>
      </c>
      <c r="W29" s="27">
        <v>27751.891771234274</v>
      </c>
      <c r="X29" s="27">
        <f t="shared" si="18"/>
        <v>1746.523386</v>
      </c>
      <c r="Y29" s="31">
        <f t="shared" si="19"/>
        <v>-0.002130056018</v>
      </c>
      <c r="Z29" s="32">
        <f t="shared" si="20"/>
        <v>-0.009242879079</v>
      </c>
      <c r="AA29" s="32">
        <f t="shared" si="21"/>
        <v>-276.2881414</v>
      </c>
      <c r="AB29" s="27">
        <f t="shared" si="22"/>
        <v>26245.81215</v>
      </c>
      <c r="AC29" s="27">
        <f t="shared" si="23"/>
        <v>25998.89995</v>
      </c>
      <c r="AD29" s="27">
        <f t="shared" si="24"/>
        <v>25752.10856</v>
      </c>
      <c r="AE29" s="29">
        <f t="shared" si="25"/>
        <v>24273.09861</v>
      </c>
    </row>
    <row r="30" ht="15.75" customHeight="1">
      <c r="A30" s="33">
        <v>2.611606035E9</v>
      </c>
      <c r="B30" s="34" t="s">
        <v>67</v>
      </c>
      <c r="C30" s="34">
        <v>39012.0</v>
      </c>
      <c r="D30" s="34">
        <v>43523.0</v>
      </c>
      <c r="E30" s="24">
        <f t="shared" si="1"/>
        <v>-4511</v>
      </c>
      <c r="F30" s="25">
        <f t="shared" si="2"/>
        <v>-0.1036463479</v>
      </c>
      <c r="G30" s="26">
        <f t="shared" si="3"/>
        <v>0.02849275717</v>
      </c>
      <c r="H30" s="27">
        <f t="shared" si="4"/>
        <v>45238.15001</v>
      </c>
      <c r="I30" s="27">
        <f t="shared" si="5"/>
        <v>45257.21167</v>
      </c>
      <c r="J30" s="28">
        <f t="shared" si="6"/>
        <v>0.02620154206</v>
      </c>
      <c r="K30" s="27">
        <f t="shared" si="7"/>
        <v>41600.37174</v>
      </c>
      <c r="L30" s="27">
        <f t="shared" si="8"/>
        <v>41617.90057</v>
      </c>
      <c r="M30" s="27">
        <f t="shared" si="9"/>
        <v>2588.371735</v>
      </c>
      <c r="N30" s="29">
        <f t="shared" si="10"/>
        <v>17.52883164</v>
      </c>
      <c r="O30" s="6">
        <f t="shared" si="11"/>
        <v>-0.009076907457</v>
      </c>
      <c r="P30" s="30">
        <f t="shared" si="12"/>
        <v>38306.99758</v>
      </c>
      <c r="Q30" s="27">
        <v>39729.97729156474</v>
      </c>
      <c r="R30" s="29">
        <f t="shared" si="13"/>
        <v>717.9772916</v>
      </c>
      <c r="S30" s="30">
        <f t="shared" si="14"/>
        <v>37959.28851</v>
      </c>
      <c r="T30" s="27">
        <f t="shared" si="15"/>
        <v>37959.28851</v>
      </c>
      <c r="U30" s="29">
        <f t="shared" si="16"/>
        <v>-1770.688783</v>
      </c>
      <c r="V30" s="27">
        <f t="shared" si="17"/>
        <v>37614.73556</v>
      </c>
      <c r="W30" s="27">
        <v>40461.1682453668</v>
      </c>
      <c r="X30" s="27">
        <f t="shared" si="18"/>
        <v>2501.879736</v>
      </c>
      <c r="Y30" s="31">
        <f t="shared" si="19"/>
        <v>-0.002130056018</v>
      </c>
      <c r="Z30" s="32">
        <f t="shared" si="20"/>
        <v>-0.009076907457</v>
      </c>
      <c r="AA30" s="32">
        <f t="shared" si="21"/>
        <v>-395.0542432</v>
      </c>
      <c r="AB30" s="27">
        <f t="shared" si="22"/>
        <v>38303.96038</v>
      </c>
      <c r="AC30" s="27">
        <f t="shared" si="23"/>
        <v>37950.20569</v>
      </c>
      <c r="AD30" s="27">
        <f t="shared" si="24"/>
        <v>37596.62725</v>
      </c>
      <c r="AE30" s="29">
        <f t="shared" si="25"/>
        <v>35431.07926</v>
      </c>
    </row>
    <row r="31" ht="15.75" customHeight="1">
      <c r="A31" s="33">
        <v>2.611606089E9</v>
      </c>
      <c r="B31" s="34" t="s">
        <v>68</v>
      </c>
      <c r="C31" s="34">
        <v>45448.0</v>
      </c>
      <c r="D31" s="34">
        <v>50533.0</v>
      </c>
      <c r="E31" s="24">
        <f t="shared" si="1"/>
        <v>-5085</v>
      </c>
      <c r="F31" s="25">
        <f t="shared" si="2"/>
        <v>-0.1006273128</v>
      </c>
      <c r="G31" s="26">
        <f t="shared" si="3"/>
        <v>0.03308192216</v>
      </c>
      <c r="H31" s="27">
        <f t="shared" si="4"/>
        <v>52524.39939</v>
      </c>
      <c r="I31" s="27">
        <f t="shared" si="5"/>
        <v>52546.53119</v>
      </c>
      <c r="J31" s="28">
        <f t="shared" si="6"/>
        <v>0.0305241383</v>
      </c>
      <c r="K31" s="27">
        <f t="shared" si="7"/>
        <v>48463.38805</v>
      </c>
      <c r="L31" s="27">
        <f t="shared" si="8"/>
        <v>48483.8087</v>
      </c>
      <c r="M31" s="27">
        <f t="shared" si="9"/>
        <v>3015.38805</v>
      </c>
      <c r="N31" s="29">
        <f t="shared" si="10"/>
        <v>20.42064852</v>
      </c>
      <c r="O31" s="6">
        <f t="shared" si="11"/>
        <v>-0.008799206127</v>
      </c>
      <c r="P31" s="30">
        <f t="shared" si="12"/>
        <v>44651.70622</v>
      </c>
      <c r="Q31" s="27">
        <v>46258.49444397041</v>
      </c>
      <c r="R31" s="29">
        <f t="shared" si="13"/>
        <v>810.494444</v>
      </c>
      <c r="S31" s="30">
        <f t="shared" si="14"/>
        <v>44258.80665</v>
      </c>
      <c r="T31" s="27">
        <f t="shared" si="15"/>
        <v>44258.80665</v>
      </c>
      <c r="U31" s="29">
        <f t="shared" si="16"/>
        <v>-1999.687793</v>
      </c>
      <c r="V31" s="27">
        <f t="shared" si="17"/>
        <v>43869.36429</v>
      </c>
      <c r="W31" s="27">
        <v>47083.44279666523</v>
      </c>
      <c r="X31" s="27">
        <f t="shared" si="18"/>
        <v>2824.636146</v>
      </c>
      <c r="Y31" s="31">
        <f t="shared" si="19"/>
        <v>-0.002130056018</v>
      </c>
      <c r="Z31" s="32">
        <f t="shared" si="20"/>
        <v>-0.008799206127</v>
      </c>
      <c r="AA31" s="32">
        <f t="shared" si="21"/>
        <v>-444.6502832</v>
      </c>
      <c r="AB31" s="27">
        <f t="shared" si="22"/>
        <v>44648.39356</v>
      </c>
      <c r="AC31" s="27">
        <f t="shared" si="23"/>
        <v>44248.89921</v>
      </c>
      <c r="AD31" s="27">
        <f t="shared" si="24"/>
        <v>43849.61019</v>
      </c>
      <c r="AE31" s="29">
        <f t="shared" si="25"/>
        <v>41311.66688</v>
      </c>
    </row>
    <row r="32" ht="15.75" customHeight="1">
      <c r="A32" s="33">
        <v>2.611606068E9</v>
      </c>
      <c r="B32" s="34" t="s">
        <v>69</v>
      </c>
      <c r="C32" s="34">
        <v>7664.0</v>
      </c>
      <c r="D32" s="34">
        <v>8476.0</v>
      </c>
      <c r="E32" s="24">
        <f t="shared" si="1"/>
        <v>-812</v>
      </c>
      <c r="F32" s="25">
        <f t="shared" si="2"/>
        <v>-0.09579990562</v>
      </c>
      <c r="G32" s="26">
        <f t="shared" si="3"/>
        <v>0.005548896211</v>
      </c>
      <c r="H32" s="27">
        <f t="shared" si="4"/>
        <v>8810.021356</v>
      </c>
      <c r="I32" s="27">
        <f t="shared" si="5"/>
        <v>8813.733568</v>
      </c>
      <c r="J32" s="28">
        <f t="shared" si="6"/>
        <v>0.00514735513</v>
      </c>
      <c r="K32" s="27">
        <f t="shared" si="7"/>
        <v>8172.491771</v>
      </c>
      <c r="L32" s="27">
        <f t="shared" si="8"/>
        <v>8175.935352</v>
      </c>
      <c r="M32" s="27">
        <f t="shared" si="9"/>
        <v>508.4917712</v>
      </c>
      <c r="N32" s="29">
        <f t="shared" si="10"/>
        <v>3.443580582</v>
      </c>
      <c r="O32" s="6">
        <f t="shared" si="11"/>
        <v>-0.008356935024</v>
      </c>
      <c r="P32" s="30">
        <f t="shared" si="12"/>
        <v>7536.440141</v>
      </c>
      <c r="Q32" s="27">
        <v>7793.718904391489</v>
      </c>
      <c r="R32" s="29">
        <f t="shared" si="13"/>
        <v>129.7189044</v>
      </c>
      <c r="S32" s="30">
        <f t="shared" si="14"/>
        <v>7473.458601</v>
      </c>
      <c r="T32" s="27">
        <f t="shared" si="15"/>
        <v>7473.458601</v>
      </c>
      <c r="U32" s="29">
        <f t="shared" si="16"/>
        <v>-320.2603038</v>
      </c>
      <c r="V32" s="27">
        <f t="shared" si="17"/>
        <v>7411.003393</v>
      </c>
      <c r="W32" s="27">
        <v>7925.633397790875</v>
      </c>
      <c r="X32" s="27">
        <f t="shared" si="18"/>
        <v>452.1747972</v>
      </c>
      <c r="Y32" s="31">
        <f t="shared" si="19"/>
        <v>-0.002130056018</v>
      </c>
      <c r="Z32" s="32">
        <f t="shared" si="20"/>
        <v>-0.008356935024</v>
      </c>
      <c r="AA32" s="32">
        <f t="shared" si="21"/>
        <v>-70.83338126</v>
      </c>
      <c r="AB32" s="27">
        <f t="shared" si="22"/>
        <v>7535.939673</v>
      </c>
      <c r="AC32" s="27">
        <f t="shared" si="23"/>
        <v>7471.961594</v>
      </c>
      <c r="AD32" s="27">
        <f t="shared" si="24"/>
        <v>7408.01814</v>
      </c>
      <c r="AE32" s="29">
        <f t="shared" si="25"/>
        <v>6975.974403</v>
      </c>
    </row>
    <row r="33" ht="15.75" customHeight="1">
      <c r="A33" s="33">
        <v>2.611606047E9</v>
      </c>
      <c r="B33" s="34" t="s">
        <v>70</v>
      </c>
      <c r="C33" s="34">
        <v>4221.0</v>
      </c>
      <c r="D33" s="34">
        <v>4650.0</v>
      </c>
      <c r="E33" s="24">
        <f t="shared" si="1"/>
        <v>-429</v>
      </c>
      <c r="F33" s="25">
        <f t="shared" si="2"/>
        <v>-0.09225806452</v>
      </c>
      <c r="G33" s="26">
        <f t="shared" si="3"/>
        <v>0.003044167931</v>
      </c>
      <c r="H33" s="27">
        <f t="shared" si="4"/>
        <v>4833.246733</v>
      </c>
      <c r="I33" s="27">
        <f t="shared" si="5"/>
        <v>4835.283281</v>
      </c>
      <c r="J33" s="28">
        <f t="shared" si="6"/>
        <v>0.002834940762</v>
      </c>
      <c r="K33" s="27">
        <f t="shared" si="7"/>
        <v>4501.055293</v>
      </c>
      <c r="L33" s="27">
        <f t="shared" si="8"/>
        <v>4502.951868</v>
      </c>
      <c r="M33" s="27">
        <f t="shared" si="9"/>
        <v>280.0552931</v>
      </c>
      <c r="N33" s="29">
        <f t="shared" si="10"/>
        <v>1.89657537</v>
      </c>
      <c r="O33" s="6">
        <f t="shared" si="11"/>
        <v>-0.008033817731</v>
      </c>
      <c r="P33" s="30">
        <f t="shared" si="12"/>
        <v>4153.450943</v>
      </c>
      <c r="Q33" s="27">
        <v>4289.647630984599</v>
      </c>
      <c r="R33" s="29">
        <f t="shared" si="13"/>
        <v>68.64763098</v>
      </c>
      <c r="S33" s="30">
        <f t="shared" si="14"/>
        <v>4120.082876</v>
      </c>
      <c r="T33" s="27">
        <f t="shared" si="15"/>
        <v>4120.082876</v>
      </c>
      <c r="U33" s="29">
        <f t="shared" si="16"/>
        <v>-169.5647554</v>
      </c>
      <c r="V33" s="27">
        <f t="shared" si="17"/>
        <v>4086.982881</v>
      </c>
      <c r="W33" s="27">
        <v>4359.411702916793</v>
      </c>
      <c r="X33" s="27">
        <f t="shared" si="18"/>
        <v>239.3288273</v>
      </c>
      <c r="Y33" s="31">
        <f t="shared" si="19"/>
        <v>-0.002130056018</v>
      </c>
      <c r="Z33" s="32">
        <f t="shared" si="20"/>
        <v>-0.008033817731</v>
      </c>
      <c r="AA33" s="32">
        <f t="shared" si="21"/>
        <v>-37.35725245</v>
      </c>
      <c r="AB33" s="27">
        <f t="shared" si="22"/>
        <v>4153.197662</v>
      </c>
      <c r="AC33" s="27">
        <f t="shared" si="23"/>
        <v>4119.325179</v>
      </c>
      <c r="AD33" s="27">
        <f t="shared" si="24"/>
        <v>4085.471766</v>
      </c>
      <c r="AE33" s="29">
        <f t="shared" si="25"/>
        <v>3845.885267</v>
      </c>
    </row>
    <row r="34" ht="15.75" customHeight="1">
      <c r="A34" s="33">
        <v>2.611606066E9</v>
      </c>
      <c r="B34" s="34" t="s">
        <v>71</v>
      </c>
      <c r="C34" s="34">
        <v>23074.0</v>
      </c>
      <c r="D34" s="34">
        <v>25389.0</v>
      </c>
      <c r="E34" s="24">
        <f t="shared" si="1"/>
        <v>-2315</v>
      </c>
      <c r="F34" s="25">
        <f t="shared" si="2"/>
        <v>-0.09118122021</v>
      </c>
      <c r="G34" s="26">
        <f t="shared" si="3"/>
        <v>0.0166211569</v>
      </c>
      <c r="H34" s="27">
        <f t="shared" si="4"/>
        <v>26389.52716</v>
      </c>
      <c r="I34" s="27">
        <f t="shared" si="5"/>
        <v>26400.64671</v>
      </c>
      <c r="J34" s="28">
        <f t="shared" si="6"/>
        <v>0.01549713887</v>
      </c>
      <c r="K34" s="27">
        <f t="shared" si="7"/>
        <v>24604.91586</v>
      </c>
      <c r="L34" s="27">
        <f t="shared" si="8"/>
        <v>24615.28344</v>
      </c>
      <c r="M34" s="27">
        <f t="shared" si="9"/>
        <v>1530.915857</v>
      </c>
      <c r="N34" s="29">
        <f t="shared" si="10"/>
        <v>10.3675859</v>
      </c>
      <c r="O34" s="6">
        <f t="shared" si="11"/>
        <v>-0.007935807792</v>
      </c>
      <c r="P34" s="30">
        <f t="shared" si="12"/>
        <v>22709.23147</v>
      </c>
      <c r="Q34" s="27">
        <v>23444.627644122527</v>
      </c>
      <c r="R34" s="29">
        <f t="shared" si="13"/>
        <v>370.6276441</v>
      </c>
      <c r="S34" s="30">
        <f t="shared" si="14"/>
        <v>22529.01538</v>
      </c>
      <c r="T34" s="27">
        <f t="shared" si="15"/>
        <v>22529.01538</v>
      </c>
      <c r="U34" s="29">
        <f t="shared" si="16"/>
        <v>-915.6122659</v>
      </c>
      <c r="V34" s="27">
        <f t="shared" si="17"/>
        <v>22350.22944</v>
      </c>
      <c r="W34" s="27">
        <v>23821.208519179778</v>
      </c>
      <c r="X34" s="27">
        <f t="shared" si="18"/>
        <v>1292.193141</v>
      </c>
      <c r="Y34" s="31">
        <f t="shared" si="19"/>
        <v>-0.002130056018</v>
      </c>
      <c r="Z34" s="32">
        <f t="shared" si="20"/>
        <v>-0.007935807792</v>
      </c>
      <c r="AA34" s="32">
        <f t="shared" si="21"/>
        <v>-201.482224</v>
      </c>
      <c r="AB34" s="27">
        <f t="shared" si="22"/>
        <v>22707.88303</v>
      </c>
      <c r="AC34" s="27">
        <f t="shared" si="23"/>
        <v>22524.98136</v>
      </c>
      <c r="AD34" s="27">
        <f t="shared" si="24"/>
        <v>22342.18393</v>
      </c>
      <c r="AE34" s="29">
        <f t="shared" si="25"/>
        <v>21029.77798</v>
      </c>
    </row>
    <row r="35" ht="15.75" customHeight="1">
      <c r="A35" s="33">
        <v>2.611606041E9</v>
      </c>
      <c r="B35" s="34" t="s">
        <v>72</v>
      </c>
      <c r="C35" s="34">
        <v>10620.0</v>
      </c>
      <c r="D35" s="34">
        <v>11675.0</v>
      </c>
      <c r="E35" s="24">
        <f t="shared" si="1"/>
        <v>-1055</v>
      </c>
      <c r="F35" s="25">
        <f t="shared" si="2"/>
        <v>-0.0903640257</v>
      </c>
      <c r="G35" s="26">
        <f t="shared" si="3"/>
        <v>0.007643152815</v>
      </c>
      <c r="H35" s="27">
        <f t="shared" si="4"/>
        <v>12135.08723</v>
      </c>
      <c r="I35" s="27">
        <f t="shared" si="5"/>
        <v>12140.2005</v>
      </c>
      <c r="J35" s="28">
        <f t="shared" si="6"/>
        <v>0.00713268678</v>
      </c>
      <c r="K35" s="27">
        <f t="shared" si="7"/>
        <v>11324.61673</v>
      </c>
      <c r="L35" s="27">
        <f t="shared" si="8"/>
        <v>11329.3885</v>
      </c>
      <c r="M35" s="27">
        <f t="shared" si="9"/>
        <v>704.6167289</v>
      </c>
      <c r="N35" s="29">
        <f t="shared" si="10"/>
        <v>4.771767456</v>
      </c>
      <c r="O35" s="6">
        <f t="shared" si="11"/>
        <v>-0.007861501129</v>
      </c>
      <c r="P35" s="30">
        <f t="shared" si="12"/>
        <v>10453.67807</v>
      </c>
      <c r="Q35" s="27">
        <v>10788.96817826672</v>
      </c>
      <c r="R35" s="29">
        <f t="shared" si="13"/>
        <v>168.9681783</v>
      </c>
      <c r="S35" s="30">
        <f t="shared" si="14"/>
        <v>10371.49646</v>
      </c>
      <c r="T35" s="27">
        <f t="shared" si="15"/>
        <v>10371.49646</v>
      </c>
      <c r="U35" s="29">
        <f t="shared" si="16"/>
        <v>-417.4717142</v>
      </c>
      <c r="V35" s="27">
        <f t="shared" si="17"/>
        <v>10289.96093</v>
      </c>
      <c r="W35" s="27">
        <v>10960.624703545374</v>
      </c>
      <c r="X35" s="27">
        <f t="shared" si="18"/>
        <v>589.1282395</v>
      </c>
      <c r="Y35" s="31">
        <f t="shared" si="19"/>
        <v>-0.002130056018</v>
      </c>
      <c r="Z35" s="32">
        <f t="shared" si="20"/>
        <v>-0.007861501129</v>
      </c>
      <c r="AA35" s="32">
        <f t="shared" si="21"/>
        <v>-91.78302568</v>
      </c>
      <c r="AB35" s="27">
        <f t="shared" si="22"/>
        <v>10453.0699</v>
      </c>
      <c r="AC35" s="27">
        <f t="shared" si="23"/>
        <v>10369.67702</v>
      </c>
      <c r="AD35" s="27">
        <f t="shared" si="24"/>
        <v>10286.33213</v>
      </c>
      <c r="AE35" s="29">
        <f t="shared" si="25"/>
        <v>9681.340112</v>
      </c>
    </row>
    <row r="36" ht="15.75" customHeight="1">
      <c r="A36" s="33">
        <v>2.611606094E9</v>
      </c>
      <c r="B36" s="34" t="s">
        <v>73</v>
      </c>
      <c r="C36" s="34">
        <v>16685.0</v>
      </c>
      <c r="D36" s="34">
        <v>18320.0</v>
      </c>
      <c r="E36" s="24">
        <f t="shared" si="1"/>
        <v>-1635</v>
      </c>
      <c r="F36" s="25">
        <f t="shared" si="2"/>
        <v>-0.08924672489</v>
      </c>
      <c r="G36" s="26">
        <f t="shared" si="3"/>
        <v>0.01199336699</v>
      </c>
      <c r="H36" s="27">
        <f t="shared" si="4"/>
        <v>19041.95272</v>
      </c>
      <c r="I36" s="27">
        <f t="shared" si="5"/>
        <v>19049.97628</v>
      </c>
      <c r="J36" s="28">
        <f t="shared" si="6"/>
        <v>0.01120610913</v>
      </c>
      <c r="K36" s="27">
        <f t="shared" si="7"/>
        <v>17792.0179</v>
      </c>
      <c r="L36" s="27">
        <f t="shared" si="8"/>
        <v>17799.51479</v>
      </c>
      <c r="M36" s="27">
        <f t="shared" si="9"/>
        <v>1107.017902</v>
      </c>
      <c r="N36" s="29">
        <f t="shared" si="10"/>
        <v>7.496887005</v>
      </c>
      <c r="O36" s="6">
        <f t="shared" si="11"/>
        <v>-0.007760005072</v>
      </c>
      <c r="P36" s="30">
        <f t="shared" si="12"/>
        <v>16427.05336</v>
      </c>
      <c r="Q36" s="27">
        <v>16946.997057422777</v>
      </c>
      <c r="R36" s="29">
        <f t="shared" si="13"/>
        <v>261.9970574</v>
      </c>
      <c r="S36" s="30">
        <f t="shared" si="14"/>
        <v>16299.57935</v>
      </c>
      <c r="T36" s="27">
        <f t="shared" si="15"/>
        <v>16299.57935</v>
      </c>
      <c r="U36" s="29">
        <f t="shared" si="16"/>
        <v>-647.4177121</v>
      </c>
      <c r="V36" s="27">
        <f t="shared" si="17"/>
        <v>16173.09453</v>
      </c>
      <c r="W36" s="27">
        <v>17213.108136907184</v>
      </c>
      <c r="X36" s="27">
        <f t="shared" si="18"/>
        <v>913.5287916</v>
      </c>
      <c r="Y36" s="31">
        <f t="shared" si="19"/>
        <v>-0.002130056018</v>
      </c>
      <c r="Z36" s="32">
        <f t="shared" si="20"/>
        <v>-0.007760005072</v>
      </c>
      <c r="AA36" s="32">
        <f t="shared" si="21"/>
        <v>-142.1632929</v>
      </c>
      <c r="AB36" s="27">
        <f t="shared" si="22"/>
        <v>16426.12433</v>
      </c>
      <c r="AC36" s="27">
        <f t="shared" si="23"/>
        <v>16296.79989</v>
      </c>
      <c r="AD36" s="27">
        <f t="shared" si="24"/>
        <v>16167.55083</v>
      </c>
      <c r="AE36" s="29">
        <f t="shared" si="25"/>
        <v>15215.02185</v>
      </c>
    </row>
    <row r="37" ht="15.75" customHeight="1">
      <c r="A37" s="33">
        <v>2.611606036E9</v>
      </c>
      <c r="B37" s="34" t="s">
        <v>74</v>
      </c>
      <c r="C37" s="34">
        <v>7728.0</v>
      </c>
      <c r="D37" s="34">
        <v>8472.0</v>
      </c>
      <c r="E37" s="24">
        <f t="shared" si="1"/>
        <v>-744</v>
      </c>
      <c r="F37" s="25">
        <f t="shared" si="2"/>
        <v>-0.08781869688</v>
      </c>
      <c r="G37" s="26">
        <f t="shared" si="3"/>
        <v>0.005546277572</v>
      </c>
      <c r="H37" s="27">
        <f t="shared" si="4"/>
        <v>8805.863725</v>
      </c>
      <c r="I37" s="27">
        <f t="shared" si="5"/>
        <v>8809.574184</v>
      </c>
      <c r="J37" s="28">
        <f t="shared" si="6"/>
        <v>0.005190339306</v>
      </c>
      <c r="K37" s="27">
        <f t="shared" si="7"/>
        <v>8240.738049</v>
      </c>
      <c r="L37" s="27">
        <f t="shared" si="8"/>
        <v>8244.210386</v>
      </c>
      <c r="M37" s="27">
        <f t="shared" si="9"/>
        <v>512.7380491</v>
      </c>
      <c r="N37" s="29">
        <f t="shared" si="10"/>
        <v>3.472336996</v>
      </c>
      <c r="O37" s="6">
        <f t="shared" si="11"/>
        <v>-0.007630448467</v>
      </c>
      <c r="P37" s="30">
        <f t="shared" si="12"/>
        <v>7610.513742</v>
      </c>
      <c r="Q37" s="27">
        <v>7847.299936353215</v>
      </c>
      <c r="R37" s="29">
        <f t="shared" si="13"/>
        <v>119.2999364</v>
      </c>
      <c r="S37" s="30">
        <f t="shared" si="14"/>
        <v>7552.442109</v>
      </c>
      <c r="T37" s="27">
        <f t="shared" si="15"/>
        <v>7552.442109</v>
      </c>
      <c r="U37" s="29">
        <f t="shared" si="16"/>
        <v>-294.8578277</v>
      </c>
      <c r="V37" s="27">
        <f t="shared" si="17"/>
        <v>7494.813588</v>
      </c>
      <c r="W37" s="27">
        <v>7968.441549053983</v>
      </c>
      <c r="X37" s="27">
        <f t="shared" si="18"/>
        <v>415.9994404</v>
      </c>
      <c r="Y37" s="31">
        <f t="shared" si="19"/>
        <v>-0.002130056018</v>
      </c>
      <c r="Z37" s="32">
        <f t="shared" si="20"/>
        <v>-0.007630448467</v>
      </c>
      <c r="AA37" s="32">
        <f t="shared" si="21"/>
        <v>-64.64515941</v>
      </c>
      <c r="AB37" s="27">
        <f t="shared" si="22"/>
        <v>7610.098852</v>
      </c>
      <c r="AC37" s="27">
        <f t="shared" si="23"/>
        <v>7551.200797</v>
      </c>
      <c r="AD37" s="27">
        <f t="shared" si="24"/>
        <v>7492.337656</v>
      </c>
      <c r="AE37" s="29">
        <f t="shared" si="25"/>
        <v>7049.953725</v>
      </c>
    </row>
    <row r="38" ht="15.75" customHeight="1">
      <c r="A38" s="33">
        <v>2.611606054E9</v>
      </c>
      <c r="B38" s="34" t="s">
        <v>75</v>
      </c>
      <c r="C38" s="34">
        <v>6954.0</v>
      </c>
      <c r="D38" s="34">
        <v>7615.0</v>
      </c>
      <c r="E38" s="24">
        <f t="shared" si="1"/>
        <v>-661</v>
      </c>
      <c r="F38" s="25">
        <f t="shared" si="2"/>
        <v>-0.08680236376</v>
      </c>
      <c r="G38" s="26">
        <f t="shared" si="3"/>
        <v>0.004985234149</v>
      </c>
      <c r="H38" s="27">
        <f t="shared" si="4"/>
        <v>7915.091155</v>
      </c>
      <c r="I38" s="27">
        <f t="shared" si="5"/>
        <v>7918.426276</v>
      </c>
      <c r="J38" s="28">
        <f t="shared" si="6"/>
        <v>0.004670499422</v>
      </c>
      <c r="K38" s="27">
        <f t="shared" si="7"/>
        <v>7415.384626</v>
      </c>
      <c r="L38" s="27">
        <f t="shared" si="8"/>
        <v>7418.509191</v>
      </c>
      <c r="M38" s="27">
        <f t="shared" si="9"/>
        <v>461.3846264</v>
      </c>
      <c r="N38" s="29">
        <f t="shared" si="10"/>
        <v>3.124564114</v>
      </c>
      <c r="O38" s="6">
        <f t="shared" si="11"/>
        <v>-0.007538355721</v>
      </c>
      <c r="P38" s="30">
        <f t="shared" si="12"/>
        <v>6849.551722</v>
      </c>
      <c r="Q38" s="27">
        <v>7060.041001356835</v>
      </c>
      <c r="R38" s="29">
        <f t="shared" si="13"/>
        <v>106.0410014</v>
      </c>
      <c r="S38" s="30">
        <f t="shared" si="14"/>
        <v>6797.917365</v>
      </c>
      <c r="T38" s="27">
        <f t="shared" si="15"/>
        <v>6797.917365</v>
      </c>
      <c r="U38" s="29">
        <f t="shared" si="16"/>
        <v>-262.1236365</v>
      </c>
      <c r="V38" s="27">
        <f t="shared" si="17"/>
        <v>6746.672246</v>
      </c>
      <c r="W38" s="27">
        <v>7167.699013638142</v>
      </c>
      <c r="X38" s="27">
        <f t="shared" si="18"/>
        <v>369.7816488</v>
      </c>
      <c r="Y38" s="31">
        <f t="shared" si="19"/>
        <v>-0.002130056018</v>
      </c>
      <c r="Z38" s="32">
        <f t="shared" si="20"/>
        <v>-0.007538355721</v>
      </c>
      <c r="AA38" s="32">
        <f t="shared" si="21"/>
        <v>-57.40457881</v>
      </c>
      <c r="AB38" s="27">
        <f t="shared" si="22"/>
        <v>6849.1881</v>
      </c>
      <c r="AC38" s="27">
        <f t="shared" si="23"/>
        <v>6796.82941</v>
      </c>
      <c r="AD38" s="27">
        <f t="shared" si="24"/>
        <v>6744.502136</v>
      </c>
      <c r="AE38" s="29">
        <f t="shared" si="25"/>
        <v>6345.657347</v>
      </c>
    </row>
    <row r="39" ht="15.75" customHeight="1">
      <c r="A39" s="33">
        <v>2.611606012E9</v>
      </c>
      <c r="B39" s="34" t="s">
        <v>76</v>
      </c>
      <c r="C39" s="36">
        <v>1867.0</v>
      </c>
      <c r="D39" s="34">
        <v>2037.0</v>
      </c>
      <c r="E39" s="24">
        <f t="shared" si="1"/>
        <v>-170</v>
      </c>
      <c r="F39" s="25">
        <f t="shared" si="2"/>
        <v>-0.08345606284</v>
      </c>
      <c r="G39" s="26">
        <f t="shared" si="3"/>
        <v>0.001333541952</v>
      </c>
      <c r="H39" s="27">
        <f t="shared" si="4"/>
        <v>2117.273891</v>
      </c>
      <c r="I39" s="27">
        <f t="shared" si="5"/>
        <v>2118.166031</v>
      </c>
      <c r="J39" s="28">
        <f t="shared" si="6"/>
        <v>0.001253929022</v>
      </c>
      <c r="K39" s="27">
        <f t="shared" si="7"/>
        <v>1990.871886</v>
      </c>
      <c r="L39" s="27">
        <f t="shared" si="8"/>
        <v>1991.710765</v>
      </c>
      <c r="M39" s="27">
        <f t="shared" si="9"/>
        <v>123.8718863</v>
      </c>
      <c r="N39" s="29">
        <f t="shared" si="10"/>
        <v>0.838878516</v>
      </c>
      <c r="O39" s="6">
        <f t="shared" si="11"/>
        <v>-0.007235800681</v>
      </c>
      <c r="P39" s="30">
        <f t="shared" si="12"/>
        <v>1840.07927</v>
      </c>
      <c r="Q39" s="27">
        <v>1894.314585260049</v>
      </c>
      <c r="R39" s="29">
        <f t="shared" si="13"/>
        <v>27.31458526</v>
      </c>
      <c r="S39" s="30">
        <f t="shared" si="14"/>
        <v>1826.764824</v>
      </c>
      <c r="T39" s="27">
        <f t="shared" si="15"/>
        <v>1826.764824</v>
      </c>
      <c r="U39" s="29">
        <f t="shared" si="16"/>
        <v>-67.54976167</v>
      </c>
      <c r="V39" s="27">
        <f t="shared" si="17"/>
        <v>1813.546717</v>
      </c>
      <c r="W39" s="27">
        <v>1922.0287883925823</v>
      </c>
      <c r="X39" s="27">
        <f t="shared" si="18"/>
        <v>95.26396481</v>
      </c>
      <c r="Y39" s="31">
        <f t="shared" si="19"/>
        <v>-0.002130056018</v>
      </c>
      <c r="Z39" s="32">
        <f t="shared" si="20"/>
        <v>-0.007235800681</v>
      </c>
      <c r="AA39" s="32">
        <f t="shared" si="21"/>
        <v>-14.73932599</v>
      </c>
      <c r="AB39" s="27">
        <f t="shared" si="22"/>
        <v>1839.989991</v>
      </c>
      <c r="AC39" s="27">
        <f t="shared" si="23"/>
        <v>1826.497675</v>
      </c>
      <c r="AD39" s="27">
        <f t="shared" si="24"/>
        <v>1813.013793</v>
      </c>
      <c r="AE39" s="29">
        <f t="shared" si="25"/>
        <v>1705.255155</v>
      </c>
    </row>
    <row r="40" ht="15.75" customHeight="1">
      <c r="A40" s="33">
        <v>2.611606052E9</v>
      </c>
      <c r="B40" s="34" t="s">
        <v>77</v>
      </c>
      <c r="C40" s="34">
        <v>11313.0</v>
      </c>
      <c r="D40" s="34">
        <v>12295.0</v>
      </c>
      <c r="E40" s="24">
        <f t="shared" si="1"/>
        <v>-982</v>
      </c>
      <c r="F40" s="25">
        <f t="shared" si="2"/>
        <v>-0.0798698658</v>
      </c>
      <c r="G40" s="26">
        <f t="shared" si="3"/>
        <v>0.008049041873</v>
      </c>
      <c r="H40" s="27">
        <f t="shared" si="4"/>
        <v>12779.52012</v>
      </c>
      <c r="I40" s="27">
        <f t="shared" si="5"/>
        <v>12784.90493</v>
      </c>
      <c r="J40" s="28">
        <f t="shared" si="6"/>
        <v>0.007598124815</v>
      </c>
      <c r="K40" s="27">
        <f t="shared" si="7"/>
        <v>12063.59596</v>
      </c>
      <c r="L40" s="27">
        <f t="shared" si="8"/>
        <v>12068.6791</v>
      </c>
      <c r="M40" s="27">
        <f t="shared" si="9"/>
        <v>750.5959561</v>
      </c>
      <c r="N40" s="29">
        <f t="shared" si="10"/>
        <v>5.083145501</v>
      </c>
      <c r="O40" s="6">
        <f t="shared" si="11"/>
        <v>-0.00691267749</v>
      </c>
      <c r="P40" s="30">
        <f t="shared" si="12"/>
        <v>11157.13435</v>
      </c>
      <c r="Q40" s="27">
        <v>11471.043097765541</v>
      </c>
      <c r="R40" s="29">
        <f t="shared" si="13"/>
        <v>158.0430978</v>
      </c>
      <c r="S40" s="30">
        <f t="shared" si="14"/>
        <v>11080.00868</v>
      </c>
      <c r="T40" s="27">
        <f t="shared" si="15"/>
        <v>11080.00868</v>
      </c>
      <c r="U40" s="29">
        <f t="shared" si="16"/>
        <v>-391.0344172</v>
      </c>
      <c r="V40" s="27">
        <f t="shared" si="17"/>
        <v>11003.41615</v>
      </c>
      <c r="W40" s="27">
        <v>11631.294064420976</v>
      </c>
      <c r="X40" s="27">
        <f t="shared" si="18"/>
        <v>551.2853839</v>
      </c>
      <c r="Y40" s="31">
        <f t="shared" si="19"/>
        <v>-0.002130056018</v>
      </c>
      <c r="Z40" s="32">
        <f t="shared" si="20"/>
        <v>-0.00691267749</v>
      </c>
      <c r="AA40" s="32">
        <f t="shared" si="21"/>
        <v>-84.99136974</v>
      </c>
      <c r="AB40" s="27">
        <f t="shared" si="22"/>
        <v>11156.64509</v>
      </c>
      <c r="AC40" s="27">
        <f t="shared" si="23"/>
        <v>11078.54452</v>
      </c>
      <c r="AD40" s="27">
        <f t="shared" si="24"/>
        <v>11000.49505</v>
      </c>
      <c r="AE40" s="29">
        <f t="shared" si="25"/>
        <v>10343.15313</v>
      </c>
    </row>
    <row r="41" ht="15.75" customHeight="1">
      <c r="A41" s="33">
        <v>2.611606053E9</v>
      </c>
      <c r="B41" s="34" t="s">
        <v>78</v>
      </c>
      <c r="C41" s="34">
        <v>6397.0</v>
      </c>
      <c r="D41" s="34">
        <v>6947.0</v>
      </c>
      <c r="E41" s="24">
        <f t="shared" si="1"/>
        <v>-550</v>
      </c>
      <c r="F41" s="25">
        <f t="shared" si="2"/>
        <v>-0.07917086512</v>
      </c>
      <c r="G41" s="26">
        <f t="shared" si="3"/>
        <v>0.004547921422</v>
      </c>
      <c r="H41" s="27">
        <f t="shared" si="4"/>
        <v>7220.766678</v>
      </c>
      <c r="I41" s="27">
        <f t="shared" si="5"/>
        <v>7223.809237</v>
      </c>
      <c r="J41" s="28">
        <f t="shared" si="6"/>
        <v>0.004296402762</v>
      </c>
      <c r="K41" s="27">
        <f t="shared" si="7"/>
        <v>6821.42874</v>
      </c>
      <c r="L41" s="27">
        <f t="shared" si="8"/>
        <v>6824.303033</v>
      </c>
      <c r="M41" s="27">
        <f t="shared" si="9"/>
        <v>424.4287396</v>
      </c>
      <c r="N41" s="29">
        <f t="shared" si="10"/>
        <v>2.874293448</v>
      </c>
      <c r="O41" s="6">
        <f t="shared" si="11"/>
        <v>-0.006849830662</v>
      </c>
      <c r="P41" s="30">
        <f t="shared" si="12"/>
        <v>6309.663415</v>
      </c>
      <c r="Q41" s="27">
        <v>6485.545473522847</v>
      </c>
      <c r="R41" s="29">
        <f t="shared" si="13"/>
        <v>88.54547352</v>
      </c>
      <c r="S41" s="30">
        <f t="shared" si="14"/>
        <v>6266.443289</v>
      </c>
      <c r="T41" s="27">
        <f t="shared" si="15"/>
        <v>6266.443289</v>
      </c>
      <c r="U41" s="29">
        <f t="shared" si="16"/>
        <v>-219.1021845</v>
      </c>
      <c r="V41" s="27">
        <f t="shared" si="17"/>
        <v>6223.519214</v>
      </c>
      <c r="W41" s="27">
        <v>6575.316568568498</v>
      </c>
      <c r="X41" s="27">
        <f t="shared" si="18"/>
        <v>308.8732796</v>
      </c>
      <c r="Y41" s="31">
        <f t="shared" si="19"/>
        <v>-0.002130056018</v>
      </c>
      <c r="Z41" s="32">
        <f t="shared" si="20"/>
        <v>-0.006849830662</v>
      </c>
      <c r="AA41" s="32">
        <f t="shared" si="21"/>
        <v>-47.58577361</v>
      </c>
      <c r="AB41" s="27">
        <f t="shared" si="22"/>
        <v>6309.392291</v>
      </c>
      <c r="AC41" s="27">
        <f t="shared" si="23"/>
        <v>6265.63191</v>
      </c>
      <c r="AD41" s="27">
        <f t="shared" si="24"/>
        <v>6221.90043</v>
      </c>
      <c r="AE41" s="29">
        <f t="shared" si="25"/>
        <v>5849.720622</v>
      </c>
    </row>
    <row r="42" ht="15.75" customHeight="1">
      <c r="A42" s="33">
        <v>2.61160606E9</v>
      </c>
      <c r="B42" s="34" t="s">
        <v>79</v>
      </c>
      <c r="C42" s="36">
        <v>37660.0</v>
      </c>
      <c r="D42" s="34">
        <v>40870.0</v>
      </c>
      <c r="E42" s="24">
        <f t="shared" si="1"/>
        <v>-3210</v>
      </c>
      <c r="F42" s="25">
        <f t="shared" si="2"/>
        <v>-0.07854171764</v>
      </c>
      <c r="G42" s="26">
        <f t="shared" si="3"/>
        <v>0.0267559448</v>
      </c>
      <c r="H42" s="27">
        <f t="shared" si="4"/>
        <v>42480.60085</v>
      </c>
      <c r="I42" s="27">
        <f t="shared" si="5"/>
        <v>42498.50058</v>
      </c>
      <c r="J42" s="28">
        <f t="shared" si="6"/>
        <v>0.02529350133</v>
      </c>
      <c r="K42" s="27">
        <f t="shared" si="7"/>
        <v>40158.66912</v>
      </c>
      <c r="L42" s="27">
        <f t="shared" si="8"/>
        <v>40175.59047</v>
      </c>
      <c r="M42" s="27">
        <f t="shared" si="9"/>
        <v>2498.669116</v>
      </c>
      <c r="N42" s="29">
        <f t="shared" si="10"/>
        <v>16.92135239</v>
      </c>
      <c r="O42" s="6">
        <f t="shared" si="11"/>
        <v>-0.006793301685</v>
      </c>
      <c r="P42" s="30">
        <f t="shared" si="12"/>
        <v>37150.06649</v>
      </c>
      <c r="Q42" s="27">
        <v>38176.93302156786</v>
      </c>
      <c r="R42" s="29">
        <f t="shared" si="13"/>
        <v>516.9330216</v>
      </c>
      <c r="S42" s="30">
        <f t="shared" si="14"/>
        <v>36897.69488</v>
      </c>
      <c r="T42" s="27">
        <f t="shared" si="15"/>
        <v>36897.69488</v>
      </c>
      <c r="U42" s="29">
        <f t="shared" si="16"/>
        <v>-1279.238144</v>
      </c>
      <c r="V42" s="27">
        <f t="shared" si="17"/>
        <v>36647.0377</v>
      </c>
      <c r="W42" s="27">
        <v>38700.96162860538</v>
      </c>
      <c r="X42" s="27">
        <f t="shared" si="18"/>
        <v>1803.266751</v>
      </c>
      <c r="Y42" s="31">
        <f t="shared" si="19"/>
        <v>-0.002130056018</v>
      </c>
      <c r="Z42" s="32">
        <f t="shared" si="20"/>
        <v>-0.006793301685</v>
      </c>
      <c r="AA42" s="32">
        <f t="shared" si="21"/>
        <v>-277.6422399</v>
      </c>
      <c r="AB42" s="27">
        <f t="shared" si="22"/>
        <v>37148.49939</v>
      </c>
      <c r="AC42" s="27">
        <f t="shared" si="23"/>
        <v>36893.00502</v>
      </c>
      <c r="AD42" s="27">
        <f t="shared" si="24"/>
        <v>36637.68079</v>
      </c>
      <c r="AE42" s="29">
        <f t="shared" si="25"/>
        <v>34444.05534</v>
      </c>
    </row>
    <row r="43" ht="15.75" customHeight="1">
      <c r="A43" s="33">
        <v>2.61160602E9</v>
      </c>
      <c r="B43" s="34" t="s">
        <v>80</v>
      </c>
      <c r="C43" s="34">
        <v>8757.0</v>
      </c>
      <c r="D43" s="34">
        <v>9484.0</v>
      </c>
      <c r="E43" s="24">
        <f t="shared" si="1"/>
        <v>-727</v>
      </c>
      <c r="F43" s="25">
        <f t="shared" si="2"/>
        <v>-0.07665541965</v>
      </c>
      <c r="G43" s="26">
        <f t="shared" si="3"/>
        <v>0.006208793259</v>
      </c>
      <c r="H43" s="27">
        <f t="shared" si="4"/>
        <v>9857.744519</v>
      </c>
      <c r="I43" s="27">
        <f t="shared" si="5"/>
        <v>9861.898202</v>
      </c>
      <c r="J43" s="28">
        <f t="shared" si="6"/>
        <v>0.005881444268</v>
      </c>
      <c r="K43" s="27">
        <f t="shared" si="7"/>
        <v>9338.010235</v>
      </c>
      <c r="L43" s="27">
        <f t="shared" si="8"/>
        <v>9341.944921</v>
      </c>
      <c r="M43" s="27">
        <f t="shared" si="9"/>
        <v>581.0102349</v>
      </c>
      <c r="N43" s="29">
        <f t="shared" si="10"/>
        <v>3.934686216</v>
      </c>
      <c r="O43" s="6">
        <f t="shared" si="11"/>
        <v>-0.006624029389</v>
      </c>
      <c r="P43" s="30">
        <f t="shared" si="12"/>
        <v>8641.370987</v>
      </c>
      <c r="Q43" s="27">
        <v>8874.176229278355</v>
      </c>
      <c r="R43" s="29">
        <f t="shared" si="13"/>
        <v>117.1762293</v>
      </c>
      <c r="S43" s="30">
        <f t="shared" si="14"/>
        <v>8584.130291</v>
      </c>
      <c r="T43" s="27">
        <f t="shared" si="15"/>
        <v>8584.130291</v>
      </c>
      <c r="U43" s="29">
        <f t="shared" si="16"/>
        <v>-290.0459378</v>
      </c>
      <c r="V43" s="27">
        <f t="shared" si="17"/>
        <v>8527.26876</v>
      </c>
      <c r="W43" s="27">
        <v>8992.920377787943</v>
      </c>
      <c r="X43" s="27">
        <f t="shared" si="18"/>
        <v>408.7900863</v>
      </c>
      <c r="Y43" s="31">
        <f t="shared" si="19"/>
        <v>-0.002130056018</v>
      </c>
      <c r="Z43" s="32">
        <f t="shared" si="20"/>
        <v>-0.006624029389</v>
      </c>
      <c r="AA43" s="32">
        <f t="shared" si="21"/>
        <v>-62.82229473</v>
      </c>
      <c r="AB43" s="27">
        <f t="shared" si="22"/>
        <v>8641.026481</v>
      </c>
      <c r="AC43" s="27">
        <f t="shared" si="23"/>
        <v>8583.099234</v>
      </c>
      <c r="AD43" s="27">
        <f t="shared" si="24"/>
        <v>8525.211551</v>
      </c>
      <c r="AE43" s="29">
        <f t="shared" si="25"/>
        <v>8013.354968</v>
      </c>
    </row>
    <row r="44" ht="15.75" customHeight="1">
      <c r="A44" s="33">
        <v>2.611606087E9</v>
      </c>
      <c r="B44" s="34" t="s">
        <v>81</v>
      </c>
      <c r="C44" s="34">
        <v>62632.0</v>
      </c>
      <c r="D44" s="34">
        <v>67260.0</v>
      </c>
      <c r="E44" s="24">
        <f t="shared" si="1"/>
        <v>-4628</v>
      </c>
      <c r="F44" s="25">
        <f t="shared" si="2"/>
        <v>-0.06880761225</v>
      </c>
      <c r="G44" s="26">
        <f t="shared" si="3"/>
        <v>0.04403241613</v>
      </c>
      <c r="H44" s="27">
        <f t="shared" si="4"/>
        <v>69910.57532</v>
      </c>
      <c r="I44" s="27">
        <f t="shared" si="5"/>
        <v>69940.03301</v>
      </c>
      <c r="J44" s="28">
        <f t="shared" si="6"/>
        <v>0.04206538968</v>
      </c>
      <c r="K44" s="27">
        <f t="shared" si="7"/>
        <v>66787.51365</v>
      </c>
      <c r="L44" s="27">
        <f t="shared" si="8"/>
        <v>66815.6554</v>
      </c>
      <c r="M44" s="27">
        <f t="shared" si="9"/>
        <v>4155.51365</v>
      </c>
      <c r="N44" s="29">
        <f t="shared" si="10"/>
        <v>28.14174569</v>
      </c>
      <c r="O44" s="6">
        <f t="shared" si="11"/>
        <v>-0.005923169843</v>
      </c>
      <c r="P44" s="30">
        <f t="shared" si="12"/>
        <v>61892.23743</v>
      </c>
      <c r="Q44" s="27">
        <v>63380.60452938858</v>
      </c>
      <c r="R44" s="29">
        <f t="shared" si="13"/>
        <v>748.6045294</v>
      </c>
      <c r="S44" s="30">
        <f t="shared" si="14"/>
        <v>61525.6392</v>
      </c>
      <c r="T44" s="27">
        <f t="shared" si="15"/>
        <v>61525.6392</v>
      </c>
      <c r="U44" s="29">
        <f t="shared" si="16"/>
        <v>-1854.965333</v>
      </c>
      <c r="V44" s="27">
        <f t="shared" si="17"/>
        <v>61161.21239</v>
      </c>
      <c r="W44" s="27">
        <v>64138.15670121907</v>
      </c>
      <c r="X44" s="27">
        <f t="shared" si="18"/>
        <v>2612.517505</v>
      </c>
      <c r="Y44" s="31">
        <f t="shared" si="19"/>
        <v>-0.002130056018</v>
      </c>
      <c r="Z44" s="32">
        <f t="shared" si="20"/>
        <v>-0.005923169843</v>
      </c>
      <c r="AA44" s="32">
        <f t="shared" si="21"/>
        <v>-398.3924037</v>
      </c>
      <c r="AB44" s="27">
        <f t="shared" si="22"/>
        <v>61890.32422</v>
      </c>
      <c r="AC44" s="27">
        <f t="shared" si="23"/>
        <v>61519.91198</v>
      </c>
      <c r="AD44" s="27">
        <f t="shared" si="24"/>
        <v>61149.78271</v>
      </c>
      <c r="AE44" s="29">
        <f t="shared" si="25"/>
        <v>57436.23356</v>
      </c>
    </row>
    <row r="45" ht="15.75" customHeight="1">
      <c r="A45" s="33">
        <v>2.611606046E9</v>
      </c>
      <c r="B45" s="34" t="s">
        <v>82</v>
      </c>
      <c r="C45" s="34">
        <v>7738.0</v>
      </c>
      <c r="D45" s="34">
        <v>8286.0</v>
      </c>
      <c r="E45" s="24">
        <f t="shared" si="1"/>
        <v>-548</v>
      </c>
      <c r="F45" s="25">
        <f t="shared" si="2"/>
        <v>-0.06613565049</v>
      </c>
      <c r="G45" s="26">
        <f t="shared" si="3"/>
        <v>0.005424510855</v>
      </c>
      <c r="H45" s="27">
        <f t="shared" si="4"/>
        <v>8612.533855</v>
      </c>
      <c r="I45" s="27">
        <f t="shared" si="5"/>
        <v>8616.162853</v>
      </c>
      <c r="J45" s="28">
        <f t="shared" si="6"/>
        <v>0.005197055584</v>
      </c>
      <c r="K45" s="27">
        <f t="shared" si="7"/>
        <v>8251.40153</v>
      </c>
      <c r="L45" s="27">
        <f t="shared" si="8"/>
        <v>8254.87836</v>
      </c>
      <c r="M45" s="27">
        <f t="shared" si="9"/>
        <v>513.40153</v>
      </c>
      <c r="N45" s="29">
        <f t="shared" si="10"/>
        <v>3.476830186</v>
      </c>
      <c r="O45" s="6">
        <f t="shared" si="11"/>
        <v>-0.005685781692</v>
      </c>
      <c r="P45" s="30">
        <f t="shared" si="12"/>
        <v>7650.256997</v>
      </c>
      <c r="Q45" s="27">
        <v>7826.749352309682</v>
      </c>
      <c r="R45" s="29">
        <f t="shared" si="13"/>
        <v>88.74935231</v>
      </c>
      <c r="S45" s="30">
        <f t="shared" si="14"/>
        <v>7606.759306</v>
      </c>
      <c r="T45" s="27">
        <f t="shared" si="15"/>
        <v>7606.759306</v>
      </c>
      <c r="U45" s="29">
        <f t="shared" si="16"/>
        <v>-219.990046</v>
      </c>
      <c r="V45" s="27">
        <f t="shared" si="17"/>
        <v>7563.508934</v>
      </c>
      <c r="W45" s="27">
        <v>7916.516596521069</v>
      </c>
      <c r="X45" s="27">
        <f t="shared" si="18"/>
        <v>309.7572902</v>
      </c>
      <c r="Y45" s="31">
        <f t="shared" si="19"/>
        <v>-0.002130056018</v>
      </c>
      <c r="Z45" s="32">
        <f t="shared" si="20"/>
        <v>-0.005685781692</v>
      </c>
      <c r="AA45" s="32">
        <f t="shared" si="21"/>
        <v>-47.1123871</v>
      </c>
      <c r="AB45" s="27">
        <f t="shared" si="22"/>
        <v>7650.041951</v>
      </c>
      <c r="AC45" s="27">
        <f t="shared" si="23"/>
        <v>7606.115514</v>
      </c>
      <c r="AD45" s="27">
        <f t="shared" si="24"/>
        <v>7562.224036</v>
      </c>
      <c r="AE45" s="29">
        <f t="shared" si="25"/>
        <v>7101.223215</v>
      </c>
    </row>
    <row r="46" ht="15.75" customHeight="1">
      <c r="A46" s="33">
        <v>2.611606055E9</v>
      </c>
      <c r="B46" s="34" t="s">
        <v>83</v>
      </c>
      <c r="C46" s="34">
        <v>6307.0</v>
      </c>
      <c r="D46" s="34">
        <v>6722.0</v>
      </c>
      <c r="E46" s="24">
        <f t="shared" si="1"/>
        <v>-415</v>
      </c>
      <c r="F46" s="25">
        <f t="shared" si="2"/>
        <v>-0.0617375781</v>
      </c>
      <c r="G46" s="26">
        <f t="shared" si="3"/>
        <v>0.004400622974</v>
      </c>
      <c r="H46" s="27">
        <f t="shared" si="4"/>
        <v>6986.899901</v>
      </c>
      <c r="I46" s="27">
        <f t="shared" si="5"/>
        <v>6989.843917</v>
      </c>
      <c r="J46" s="28">
        <f t="shared" si="6"/>
        <v>0.004235956264</v>
      </c>
      <c r="K46" s="27">
        <f t="shared" si="7"/>
        <v>6725.457411</v>
      </c>
      <c r="L46" s="27">
        <f t="shared" si="8"/>
        <v>6728.291266</v>
      </c>
      <c r="M46" s="27">
        <f t="shared" si="9"/>
        <v>418.4574114</v>
      </c>
      <c r="N46" s="29">
        <f t="shared" si="10"/>
        <v>2.83385474</v>
      </c>
      <c r="O46" s="6">
        <f t="shared" si="11"/>
        <v>-0.0052963912</v>
      </c>
      <c r="P46" s="30">
        <f t="shared" si="12"/>
        <v>6240.368244</v>
      </c>
      <c r="Q46" s="27">
        <v>6374.343219118336</v>
      </c>
      <c r="R46" s="29">
        <f t="shared" si="13"/>
        <v>67.34321912</v>
      </c>
      <c r="S46" s="30">
        <f t="shared" si="14"/>
        <v>6207.316812</v>
      </c>
      <c r="T46" s="27">
        <f t="shared" si="15"/>
        <v>6207.316812</v>
      </c>
      <c r="U46" s="29">
        <f t="shared" si="16"/>
        <v>-167.0264067</v>
      </c>
      <c r="V46" s="27">
        <f t="shared" si="17"/>
        <v>6174.440434</v>
      </c>
      <c r="W46" s="27">
        <v>6442.405497878533</v>
      </c>
      <c r="X46" s="27">
        <f t="shared" si="18"/>
        <v>235.0886855</v>
      </c>
      <c r="Y46" s="31">
        <f t="shared" si="19"/>
        <v>-0.002130056018</v>
      </c>
      <c r="Z46" s="32">
        <f t="shared" si="20"/>
        <v>-0.0052963912</v>
      </c>
      <c r="AA46" s="32">
        <f t="shared" si="21"/>
        <v>-35.60234165</v>
      </c>
      <c r="AB46" s="27">
        <f t="shared" si="22"/>
        <v>6240.219937</v>
      </c>
      <c r="AC46" s="27">
        <f t="shared" si="23"/>
        <v>6206.872768</v>
      </c>
      <c r="AD46" s="27">
        <f t="shared" si="24"/>
        <v>6173.554094</v>
      </c>
      <c r="AE46" s="29">
        <f t="shared" si="25"/>
        <v>5794.8619</v>
      </c>
    </row>
    <row r="47" ht="15.75" customHeight="1">
      <c r="A47" s="33">
        <v>2.611606085E9</v>
      </c>
      <c r="B47" s="34" t="s">
        <v>84</v>
      </c>
      <c r="C47" s="34">
        <v>29996.0</v>
      </c>
      <c r="D47" s="34">
        <v>31598.0</v>
      </c>
      <c r="E47" s="24">
        <f t="shared" si="1"/>
        <v>-1602</v>
      </c>
      <c r="F47" s="25">
        <f t="shared" si="2"/>
        <v>-0.05069941136</v>
      </c>
      <c r="G47" s="26">
        <f t="shared" si="3"/>
        <v>0.02068593941</v>
      </c>
      <c r="H47" s="27">
        <f t="shared" si="4"/>
        <v>32843.21081</v>
      </c>
      <c r="I47" s="27">
        <f t="shared" si="5"/>
        <v>32857.0497</v>
      </c>
      <c r="J47" s="28">
        <f t="shared" si="6"/>
        <v>0.0201461462</v>
      </c>
      <c r="K47" s="27">
        <f t="shared" si="7"/>
        <v>31986.17734</v>
      </c>
      <c r="L47" s="27">
        <f t="shared" si="8"/>
        <v>31999.65512</v>
      </c>
      <c r="M47" s="27">
        <f t="shared" si="9"/>
        <v>1990.177345</v>
      </c>
      <c r="N47" s="29">
        <f t="shared" si="10"/>
        <v>13.47777181</v>
      </c>
      <c r="O47" s="6">
        <f t="shared" si="11"/>
        <v>-0.004326429589</v>
      </c>
      <c r="P47" s="30">
        <f t="shared" si="12"/>
        <v>29737.0103</v>
      </c>
      <c r="Q47" s="27">
        <v>30257.245328044497</v>
      </c>
      <c r="R47" s="29">
        <f t="shared" si="13"/>
        <v>261.245328</v>
      </c>
      <c r="S47" s="30">
        <f t="shared" si="14"/>
        <v>29608.35522</v>
      </c>
      <c r="T47" s="27">
        <f t="shared" si="15"/>
        <v>29608.35522</v>
      </c>
      <c r="U47" s="29">
        <f t="shared" si="16"/>
        <v>-648.8901083</v>
      </c>
      <c r="V47" s="27">
        <f t="shared" si="17"/>
        <v>29480.25676</v>
      </c>
      <c r="W47" s="27">
        <v>30520.76593017304</v>
      </c>
      <c r="X47" s="27">
        <f t="shared" si="18"/>
        <v>912.4107104</v>
      </c>
      <c r="Y47" s="31">
        <f t="shared" si="19"/>
        <v>-0.002130056018</v>
      </c>
      <c r="Z47" s="32">
        <f t="shared" si="20"/>
        <v>-0.004326429589</v>
      </c>
      <c r="AA47" s="32">
        <f t="shared" si="21"/>
        <v>-136.7065222</v>
      </c>
      <c r="AB47" s="27">
        <f t="shared" si="22"/>
        <v>29736.58493</v>
      </c>
      <c r="AC47" s="27">
        <f t="shared" si="23"/>
        <v>29607.08125</v>
      </c>
      <c r="AD47" s="27">
        <f t="shared" si="24"/>
        <v>29477.71309</v>
      </c>
      <c r="AE47" s="29">
        <f t="shared" si="25"/>
        <v>27641.76962</v>
      </c>
    </row>
    <row r="48" ht="15.75" customHeight="1">
      <c r="A48" s="33">
        <v>2.611606018E9</v>
      </c>
      <c r="B48" s="34" t="s">
        <v>85</v>
      </c>
      <c r="C48" s="34">
        <v>13236.0</v>
      </c>
      <c r="D48" s="34">
        <v>13861.0</v>
      </c>
      <c r="E48" s="24">
        <f t="shared" si="1"/>
        <v>-625</v>
      </c>
      <c r="F48" s="25">
        <f t="shared" si="2"/>
        <v>-0.04509054181</v>
      </c>
      <c r="G48" s="26">
        <f t="shared" si="3"/>
        <v>0.009074239073</v>
      </c>
      <c r="H48" s="27">
        <f t="shared" si="4"/>
        <v>14407.2329</v>
      </c>
      <c r="I48" s="27">
        <f t="shared" si="5"/>
        <v>14413.30356</v>
      </c>
      <c r="J48" s="28">
        <f t="shared" si="6"/>
        <v>0.008889664992</v>
      </c>
      <c r="K48" s="27">
        <f t="shared" si="7"/>
        <v>14114.18334</v>
      </c>
      <c r="L48" s="27">
        <f t="shared" si="8"/>
        <v>14120.13052</v>
      </c>
      <c r="M48" s="27">
        <f t="shared" si="9"/>
        <v>878.1833356</v>
      </c>
      <c r="N48" s="29">
        <f t="shared" si="10"/>
        <v>5.94718588</v>
      </c>
      <c r="O48" s="6">
        <f t="shared" si="11"/>
        <v>-0.003837513783</v>
      </c>
      <c r="P48" s="30">
        <f t="shared" si="12"/>
        <v>13134.60826</v>
      </c>
      <c r="Q48" s="27">
        <v>13338.174431652915</v>
      </c>
      <c r="R48" s="29">
        <f t="shared" si="13"/>
        <v>102.1744317</v>
      </c>
      <c r="S48" s="30">
        <f t="shared" si="14"/>
        <v>13084.20402</v>
      </c>
      <c r="T48" s="27">
        <f t="shared" si="15"/>
        <v>13084.20402</v>
      </c>
      <c r="U48" s="29">
        <f t="shared" si="16"/>
        <v>-253.9704166</v>
      </c>
      <c r="V48" s="27">
        <f t="shared" si="17"/>
        <v>13033.9932</v>
      </c>
      <c r="W48" s="27">
        <v>13441.137592112387</v>
      </c>
      <c r="X48" s="27">
        <f t="shared" si="18"/>
        <v>356.9335771</v>
      </c>
      <c r="Y48" s="31">
        <f t="shared" si="19"/>
        <v>-0.002130056018</v>
      </c>
      <c r="Z48" s="32">
        <f t="shared" si="20"/>
        <v>-0.003837513783</v>
      </c>
      <c r="AA48" s="32">
        <f t="shared" si="21"/>
        <v>-53.19177854</v>
      </c>
      <c r="AB48" s="27">
        <f t="shared" si="22"/>
        <v>13134.47339</v>
      </c>
      <c r="AC48" s="27">
        <f t="shared" si="23"/>
        <v>13083.80004</v>
      </c>
      <c r="AD48" s="27">
        <f t="shared" si="24"/>
        <v>13033.18648</v>
      </c>
      <c r="AE48" s="29">
        <f t="shared" si="25"/>
        <v>12215.30023</v>
      </c>
    </row>
    <row r="49" ht="15.75" customHeight="1">
      <c r="A49" s="33">
        <v>2.611606029E9</v>
      </c>
      <c r="B49" s="34" t="s">
        <v>86</v>
      </c>
      <c r="C49" s="34">
        <v>14202.0</v>
      </c>
      <c r="D49" s="34">
        <v>14867.0</v>
      </c>
      <c r="E49" s="24">
        <f t="shared" si="1"/>
        <v>-665</v>
      </c>
      <c r="F49" s="25">
        <f t="shared" si="2"/>
        <v>-0.04472993879</v>
      </c>
      <c r="G49" s="26">
        <f t="shared" si="3"/>
        <v>0.009732826801</v>
      </c>
      <c r="H49" s="27">
        <f t="shared" si="4"/>
        <v>15452.87724</v>
      </c>
      <c r="I49" s="27">
        <f t="shared" si="5"/>
        <v>15459.3885</v>
      </c>
      <c r="J49" s="28">
        <f t="shared" si="6"/>
        <v>0.009538457405</v>
      </c>
      <c r="K49" s="27">
        <f t="shared" si="7"/>
        <v>15144.27559</v>
      </c>
      <c r="L49" s="27">
        <f t="shared" si="8"/>
        <v>15150.65682</v>
      </c>
      <c r="M49" s="27">
        <f t="shared" si="9"/>
        <v>942.2755917</v>
      </c>
      <c r="N49" s="29">
        <f t="shared" si="10"/>
        <v>6.381228004</v>
      </c>
      <c r="O49" s="6">
        <f t="shared" si="11"/>
        <v>-0.003806170755</v>
      </c>
      <c r="P49" s="30">
        <f t="shared" si="12"/>
        <v>14094.09527</v>
      </c>
      <c r="Q49" s="27">
        <v>14310.730851876742</v>
      </c>
      <c r="R49" s="29">
        <f t="shared" si="13"/>
        <v>108.7308519</v>
      </c>
      <c r="S49" s="30">
        <f t="shared" si="14"/>
        <v>14040.45074</v>
      </c>
      <c r="T49" s="27">
        <f t="shared" si="15"/>
        <v>14040.45074</v>
      </c>
      <c r="U49" s="29">
        <f t="shared" si="16"/>
        <v>-270.2801158</v>
      </c>
      <c r="V49" s="27">
        <f t="shared" si="17"/>
        <v>13987.01038</v>
      </c>
      <c r="W49" s="27">
        <v>14420.29414975756</v>
      </c>
      <c r="X49" s="27">
        <f t="shared" si="18"/>
        <v>379.8434137</v>
      </c>
      <c r="Y49" s="31">
        <f t="shared" si="19"/>
        <v>-0.002130056018</v>
      </c>
      <c r="Z49" s="32">
        <f t="shared" si="20"/>
        <v>-0.003806170755</v>
      </c>
      <c r="AA49" s="32">
        <f t="shared" si="21"/>
        <v>-56.58634062</v>
      </c>
      <c r="AB49" s="27">
        <f t="shared" si="22"/>
        <v>14093.95396</v>
      </c>
      <c r="AC49" s="27">
        <f t="shared" si="23"/>
        <v>14040.02746</v>
      </c>
      <c r="AD49" s="27">
        <f t="shared" si="24"/>
        <v>13986.16512</v>
      </c>
      <c r="AE49" s="29">
        <f t="shared" si="25"/>
        <v>13108.05348</v>
      </c>
    </row>
    <row r="50" ht="15.75" customHeight="1">
      <c r="A50" s="33">
        <v>2.611606028E9</v>
      </c>
      <c r="B50" s="34" t="s">
        <v>87</v>
      </c>
      <c r="C50" s="34">
        <v>31437.0</v>
      </c>
      <c r="D50" s="34">
        <v>32869.0</v>
      </c>
      <c r="E50" s="24">
        <f t="shared" si="1"/>
        <v>-1432</v>
      </c>
      <c r="F50" s="25">
        <f t="shared" si="2"/>
        <v>-0.04356688673</v>
      </c>
      <c r="G50" s="26">
        <f t="shared" si="3"/>
        <v>0.02151801198</v>
      </c>
      <c r="H50" s="27">
        <f t="shared" si="4"/>
        <v>34164.29825</v>
      </c>
      <c r="I50" s="27">
        <f t="shared" si="5"/>
        <v>34178.6938</v>
      </c>
      <c r="J50" s="28">
        <f t="shared" si="6"/>
        <v>0.0211139618</v>
      </c>
      <c r="K50" s="27">
        <f t="shared" si="7"/>
        <v>33522.78494</v>
      </c>
      <c r="L50" s="27">
        <f t="shared" si="8"/>
        <v>33536.91018</v>
      </c>
      <c r="M50" s="27">
        <f t="shared" si="9"/>
        <v>2085.784944</v>
      </c>
      <c r="N50" s="29">
        <f t="shared" si="10"/>
        <v>14.12524044</v>
      </c>
      <c r="O50" s="6">
        <f t="shared" si="11"/>
        <v>-0.003705154012</v>
      </c>
      <c r="P50" s="30">
        <f t="shared" si="12"/>
        <v>31204.47372</v>
      </c>
      <c r="Q50" s="27">
        <v>31671.258996393437</v>
      </c>
      <c r="R50" s="29">
        <f t="shared" si="13"/>
        <v>234.2589964</v>
      </c>
      <c r="S50" s="30">
        <f t="shared" si="14"/>
        <v>31088.85634</v>
      </c>
      <c r="T50" s="27">
        <f t="shared" si="15"/>
        <v>31088.85634</v>
      </c>
      <c r="U50" s="29">
        <f t="shared" si="16"/>
        <v>-582.4026584</v>
      </c>
      <c r="V50" s="27">
        <f t="shared" si="17"/>
        <v>30973.66734</v>
      </c>
      <c r="W50" s="27">
        <v>31907.263619831163</v>
      </c>
      <c r="X50" s="27">
        <f t="shared" si="18"/>
        <v>818.4072819</v>
      </c>
      <c r="Y50" s="31">
        <f t="shared" si="19"/>
        <v>-0.002130056018</v>
      </c>
      <c r="Z50" s="32">
        <f t="shared" si="20"/>
        <v>-0.003705154012</v>
      </c>
      <c r="AA50" s="32">
        <f t="shared" si="21"/>
        <v>-121.7847072</v>
      </c>
      <c r="AB50" s="27">
        <f t="shared" si="22"/>
        <v>31204.18478</v>
      </c>
      <c r="AC50" s="27">
        <f t="shared" si="23"/>
        <v>31087.99082</v>
      </c>
      <c r="AD50" s="27">
        <f t="shared" si="24"/>
        <v>30971.93888</v>
      </c>
      <c r="AE50" s="29">
        <f t="shared" si="25"/>
        <v>29024.37673</v>
      </c>
    </row>
    <row r="51" ht="15.75" customHeight="1">
      <c r="A51" s="33">
        <v>2.611606034E9</v>
      </c>
      <c r="B51" s="34" t="s">
        <v>88</v>
      </c>
      <c r="C51" s="34">
        <v>7793.0</v>
      </c>
      <c r="D51" s="34">
        <v>8120.0</v>
      </c>
      <c r="E51" s="24">
        <f t="shared" si="1"/>
        <v>-327</v>
      </c>
      <c r="F51" s="25">
        <f t="shared" si="2"/>
        <v>-0.04027093596</v>
      </c>
      <c r="G51" s="26">
        <f t="shared" si="3"/>
        <v>0.005315837333</v>
      </c>
      <c r="H51" s="27">
        <f t="shared" si="4"/>
        <v>8439.992144</v>
      </c>
      <c r="I51" s="27">
        <f t="shared" si="5"/>
        <v>8443.548439</v>
      </c>
      <c r="J51" s="28">
        <f t="shared" si="6"/>
        <v>0.005233995111</v>
      </c>
      <c r="K51" s="27">
        <f t="shared" si="7"/>
        <v>8310.050675</v>
      </c>
      <c r="L51" s="27">
        <f t="shared" si="8"/>
        <v>8313.552218</v>
      </c>
      <c r="M51" s="27">
        <f t="shared" si="9"/>
        <v>517.050675</v>
      </c>
      <c r="N51" s="29">
        <f t="shared" si="10"/>
        <v>3.501542729</v>
      </c>
      <c r="O51" s="6">
        <f t="shared" si="11"/>
        <v>-0.003419495107</v>
      </c>
      <c r="P51" s="30">
        <f t="shared" si="12"/>
        <v>7739.794872</v>
      </c>
      <c r="Q51" s="27">
        <v>7846.570871870837</v>
      </c>
      <c r="R51" s="29">
        <f t="shared" si="13"/>
        <v>53.57087187</v>
      </c>
      <c r="S51" s="30">
        <f t="shared" si="14"/>
        <v>7713.328682</v>
      </c>
      <c r="T51" s="27">
        <f t="shared" si="15"/>
        <v>7713.328682</v>
      </c>
      <c r="U51" s="29">
        <f t="shared" si="16"/>
        <v>-133.2421902</v>
      </c>
      <c r="V51" s="27">
        <f t="shared" si="17"/>
        <v>7686.952992</v>
      </c>
      <c r="W51" s="27">
        <v>7900.510002218898</v>
      </c>
      <c r="X51" s="27">
        <f t="shared" si="18"/>
        <v>187.1813205</v>
      </c>
      <c r="Y51" s="31">
        <f t="shared" si="19"/>
        <v>-0.002130056018</v>
      </c>
      <c r="Z51" s="32">
        <f t="shared" si="20"/>
        <v>-0.003419495107</v>
      </c>
      <c r="AA51" s="32">
        <f t="shared" si="21"/>
        <v>-27.76630027</v>
      </c>
      <c r="AB51" s="27">
        <f t="shared" si="22"/>
        <v>7739.739107</v>
      </c>
      <c r="AC51" s="27">
        <f t="shared" si="23"/>
        <v>7713.161622</v>
      </c>
      <c r="AD51" s="27">
        <f t="shared" si="24"/>
        <v>7686.619345</v>
      </c>
      <c r="AE51" s="29">
        <f t="shared" si="25"/>
        <v>7201.163626</v>
      </c>
    </row>
    <row r="52" ht="15.75" customHeight="1">
      <c r="A52" s="33">
        <v>2.611606086E9</v>
      </c>
      <c r="B52" s="34" t="s">
        <v>89</v>
      </c>
      <c r="C52" s="34">
        <v>30565.0</v>
      </c>
      <c r="D52" s="34">
        <v>31773.0</v>
      </c>
      <c r="E52" s="24">
        <f t="shared" si="1"/>
        <v>-1208</v>
      </c>
      <c r="F52" s="25">
        <f t="shared" si="2"/>
        <v>-0.03801970226</v>
      </c>
      <c r="G52" s="26">
        <f t="shared" si="3"/>
        <v>0.02080050487</v>
      </c>
      <c r="H52" s="27">
        <f t="shared" si="4"/>
        <v>33025.10719</v>
      </c>
      <c r="I52" s="27">
        <f t="shared" si="5"/>
        <v>33039.02273</v>
      </c>
      <c r="J52" s="28">
        <f t="shared" si="6"/>
        <v>0.02052830239</v>
      </c>
      <c r="K52" s="27">
        <f t="shared" si="7"/>
        <v>32592.92941</v>
      </c>
      <c r="L52" s="27">
        <f t="shared" si="8"/>
        <v>32606.66284</v>
      </c>
      <c r="M52" s="27">
        <f t="shared" si="9"/>
        <v>2027.929409</v>
      </c>
      <c r="N52" s="29">
        <f t="shared" si="10"/>
        <v>13.7334343</v>
      </c>
      <c r="O52" s="6">
        <f t="shared" si="11"/>
        <v>-0.003224897897</v>
      </c>
      <c r="P52" s="30">
        <f t="shared" si="12"/>
        <v>30368.17987</v>
      </c>
      <c r="Q52" s="27">
        <v>30763.0957504468</v>
      </c>
      <c r="R52" s="29">
        <f t="shared" si="13"/>
        <v>198.0957504</v>
      </c>
      <c r="S52" s="30">
        <f t="shared" si="14"/>
        <v>30270.24559</v>
      </c>
      <c r="T52" s="27">
        <f t="shared" si="15"/>
        <v>30270.24559</v>
      </c>
      <c r="U52" s="29">
        <f t="shared" si="16"/>
        <v>-492.8501633</v>
      </c>
      <c r="V52" s="27">
        <f t="shared" si="17"/>
        <v>30172.62714</v>
      </c>
      <c r="W52" s="27">
        <v>30962.475385282447</v>
      </c>
      <c r="X52" s="27">
        <f t="shared" si="18"/>
        <v>692.2297982</v>
      </c>
      <c r="Y52" s="31">
        <f t="shared" si="19"/>
        <v>-0.002130056018</v>
      </c>
      <c r="Z52" s="32">
        <f t="shared" si="20"/>
        <v>-0.003224897897</v>
      </c>
      <c r="AA52" s="32">
        <f t="shared" si="21"/>
        <v>-102.4646809</v>
      </c>
      <c r="AB52" s="27">
        <f t="shared" si="22"/>
        <v>30368.00067</v>
      </c>
      <c r="AC52" s="27">
        <f t="shared" si="23"/>
        <v>30269.70872</v>
      </c>
      <c r="AD52" s="27">
        <f t="shared" si="24"/>
        <v>30171.55487</v>
      </c>
      <c r="AE52" s="29">
        <f t="shared" si="25"/>
        <v>28260.41202</v>
      </c>
    </row>
    <row r="53" ht="15.75" customHeight="1">
      <c r="A53" s="33">
        <v>2.611606013E9</v>
      </c>
      <c r="B53" s="34" t="s">
        <v>90</v>
      </c>
      <c r="C53" s="34">
        <v>19694.0</v>
      </c>
      <c r="D53" s="34">
        <v>20462.0</v>
      </c>
      <c r="E53" s="24">
        <f t="shared" si="1"/>
        <v>-768</v>
      </c>
      <c r="F53" s="25">
        <f t="shared" si="2"/>
        <v>-0.03753298798</v>
      </c>
      <c r="G53" s="26">
        <f t="shared" si="3"/>
        <v>0.01339564821</v>
      </c>
      <c r="H53" s="27">
        <f t="shared" si="4"/>
        <v>21268.36444</v>
      </c>
      <c r="I53" s="27">
        <f t="shared" si="5"/>
        <v>21277.32613</v>
      </c>
      <c r="J53" s="28">
        <f t="shared" si="6"/>
        <v>0.01322703705</v>
      </c>
      <c r="K53" s="27">
        <f t="shared" si="7"/>
        <v>21000.65931</v>
      </c>
      <c r="L53" s="27">
        <f t="shared" si="8"/>
        <v>21009.5082</v>
      </c>
      <c r="M53" s="27">
        <f t="shared" si="9"/>
        <v>1306.659309</v>
      </c>
      <c r="N53" s="29">
        <f t="shared" si="10"/>
        <v>8.848887784</v>
      </c>
      <c r="O53" s="6">
        <f t="shared" si="11"/>
        <v>-0.003182881079</v>
      </c>
      <c r="P53" s="30">
        <f t="shared" si="12"/>
        <v>19568.83219</v>
      </c>
      <c r="Q53" s="27">
        <v>19819.968414125786</v>
      </c>
      <c r="R53" s="29">
        <f t="shared" si="13"/>
        <v>125.9684141</v>
      </c>
      <c r="S53" s="30">
        <f t="shared" si="14"/>
        <v>19506.54693</v>
      </c>
      <c r="T53" s="27">
        <f t="shared" si="15"/>
        <v>19506.54693</v>
      </c>
      <c r="U53" s="29">
        <f t="shared" si="16"/>
        <v>-313.4214852</v>
      </c>
      <c r="V53" s="27">
        <f t="shared" si="17"/>
        <v>19444.45991</v>
      </c>
      <c r="W53" s="27">
        <v>19946.74255798435</v>
      </c>
      <c r="X53" s="27">
        <f t="shared" si="18"/>
        <v>440.195629</v>
      </c>
      <c r="Y53" s="31">
        <f t="shared" si="19"/>
        <v>-0.002130056018</v>
      </c>
      <c r="Z53" s="32">
        <f t="shared" si="20"/>
        <v>-0.003182881079</v>
      </c>
      <c r="AA53" s="32">
        <f t="shared" si="21"/>
        <v>-65.12811264</v>
      </c>
      <c r="AB53" s="27">
        <f t="shared" si="22"/>
        <v>19568.72203</v>
      </c>
      <c r="AC53" s="27">
        <f t="shared" si="23"/>
        <v>19506.21689</v>
      </c>
      <c r="AD53" s="27">
        <f t="shared" si="24"/>
        <v>19443.80073</v>
      </c>
      <c r="AE53" s="29">
        <f t="shared" si="25"/>
        <v>18211.39844</v>
      </c>
    </row>
    <row r="54" ht="15.75" customHeight="1">
      <c r="A54" s="33">
        <v>2.611606071E9</v>
      </c>
      <c r="B54" s="34" t="s">
        <v>91</v>
      </c>
      <c r="C54" s="36">
        <v>49944.0</v>
      </c>
      <c r="D54" s="34">
        <v>51862.0</v>
      </c>
      <c r="E54" s="24">
        <f t="shared" si="1"/>
        <v>-1918</v>
      </c>
      <c r="F54" s="25">
        <f t="shared" si="2"/>
        <v>-0.03698276195</v>
      </c>
      <c r="G54" s="26">
        <f t="shared" si="3"/>
        <v>0.03395196499</v>
      </c>
      <c r="H54" s="27">
        <f t="shared" si="4"/>
        <v>53905.77248</v>
      </c>
      <c r="I54" s="27">
        <f t="shared" si="5"/>
        <v>53928.48635</v>
      </c>
      <c r="J54" s="28">
        <f t="shared" si="6"/>
        <v>0.0335437767</v>
      </c>
      <c r="K54" s="27">
        <f t="shared" si="7"/>
        <v>53257.68907</v>
      </c>
      <c r="L54" s="27">
        <f t="shared" si="8"/>
        <v>53280.12986</v>
      </c>
      <c r="M54" s="27">
        <f t="shared" si="9"/>
        <v>3313.689069</v>
      </c>
      <c r="N54" s="29">
        <f t="shared" si="10"/>
        <v>22.44078661</v>
      </c>
      <c r="O54" s="6">
        <f t="shared" si="11"/>
        <v>-0.003135404901</v>
      </c>
      <c r="P54" s="30">
        <f t="shared" si="12"/>
        <v>49631.30166</v>
      </c>
      <c r="Q54" s="27">
        <v>50258.66846973913</v>
      </c>
      <c r="R54" s="29">
        <f t="shared" si="13"/>
        <v>314.6684697</v>
      </c>
      <c r="S54" s="30">
        <f t="shared" si="14"/>
        <v>49475.68744</v>
      </c>
      <c r="T54" s="27">
        <f t="shared" si="15"/>
        <v>49475.68744</v>
      </c>
      <c r="U54" s="29">
        <f t="shared" si="16"/>
        <v>-782.9810332</v>
      </c>
      <c r="V54" s="27">
        <f t="shared" si="17"/>
        <v>49320.56112</v>
      </c>
      <c r="W54" s="27">
        <v>50575.319484846026</v>
      </c>
      <c r="X54" s="27">
        <f t="shared" si="18"/>
        <v>1099.632048</v>
      </c>
      <c r="Y54" s="31">
        <f t="shared" si="19"/>
        <v>-0.002130056018</v>
      </c>
      <c r="Z54" s="32">
        <f t="shared" si="20"/>
        <v>-0.003135404901</v>
      </c>
      <c r="AA54" s="32">
        <f t="shared" si="21"/>
        <v>-162.608369</v>
      </c>
      <c r="AB54" s="27">
        <f t="shared" si="22"/>
        <v>49631.03728</v>
      </c>
      <c r="AC54" s="27">
        <f t="shared" si="23"/>
        <v>49474.89534</v>
      </c>
      <c r="AD54" s="27">
        <f t="shared" si="24"/>
        <v>49318.97904</v>
      </c>
      <c r="AE54" s="29">
        <f t="shared" si="25"/>
        <v>46190.76251</v>
      </c>
    </row>
    <row r="55" ht="15.75" customHeight="1">
      <c r="A55" s="33">
        <v>2.611606073E9</v>
      </c>
      <c r="B55" s="34" t="s">
        <v>92</v>
      </c>
      <c r="C55" s="34">
        <v>9849.0</v>
      </c>
      <c r="D55" s="34">
        <v>10203.0</v>
      </c>
      <c r="E55" s="24">
        <f t="shared" si="1"/>
        <v>-354</v>
      </c>
      <c r="F55" s="25">
        <f t="shared" si="2"/>
        <v>-0.03469567774</v>
      </c>
      <c r="G55" s="26">
        <f t="shared" si="3"/>
        <v>0.006679493634</v>
      </c>
      <c r="H55" s="27">
        <f t="shared" si="4"/>
        <v>10605.0788</v>
      </c>
      <c r="I55" s="27">
        <f t="shared" si="5"/>
        <v>10609.54738</v>
      </c>
      <c r="J55" s="28">
        <f t="shared" si="6"/>
        <v>0.006614861779</v>
      </c>
      <c r="K55" s="27">
        <f t="shared" si="7"/>
        <v>10502.46235</v>
      </c>
      <c r="L55" s="27">
        <f t="shared" si="8"/>
        <v>10506.88769</v>
      </c>
      <c r="M55" s="27">
        <f t="shared" si="9"/>
        <v>653.4623506</v>
      </c>
      <c r="N55" s="29">
        <f t="shared" si="10"/>
        <v>4.42534253</v>
      </c>
      <c r="O55" s="6">
        <f t="shared" si="11"/>
        <v>-0.002938330258</v>
      </c>
      <c r="P55" s="30">
        <f t="shared" si="12"/>
        <v>9791.205805</v>
      </c>
      <c r="Q55" s="27">
        <v>9907.135334978797</v>
      </c>
      <c r="R55" s="29">
        <f t="shared" si="13"/>
        <v>58.13533498</v>
      </c>
      <c r="S55" s="30">
        <f t="shared" si="14"/>
        <v>9762.436008</v>
      </c>
      <c r="T55" s="27">
        <f t="shared" si="15"/>
        <v>9762.436008</v>
      </c>
      <c r="U55" s="29">
        <f t="shared" si="16"/>
        <v>-144.6993265</v>
      </c>
      <c r="V55" s="27">
        <f t="shared" si="17"/>
        <v>9733.750747</v>
      </c>
      <c r="W55" s="27">
        <v>9965.613823290229</v>
      </c>
      <c r="X55" s="27">
        <f t="shared" si="18"/>
        <v>203.1778148</v>
      </c>
      <c r="Y55" s="31">
        <f t="shared" si="19"/>
        <v>-0.002130056018</v>
      </c>
      <c r="Z55" s="32">
        <f t="shared" si="20"/>
        <v>-0.002938330258</v>
      </c>
      <c r="AA55" s="32">
        <f t="shared" si="21"/>
        <v>-29.97978362</v>
      </c>
      <c r="AB55" s="27">
        <f t="shared" si="22"/>
        <v>9791.165457</v>
      </c>
      <c r="AC55" s="27">
        <f t="shared" si="23"/>
        <v>9762.31512</v>
      </c>
      <c r="AD55" s="27">
        <f t="shared" si="24"/>
        <v>9733.509278</v>
      </c>
      <c r="AE55" s="29">
        <f t="shared" si="25"/>
        <v>9114.294758</v>
      </c>
    </row>
    <row r="56" ht="15.75" customHeight="1">
      <c r="A56" s="33">
        <v>2.611606009E9</v>
      </c>
      <c r="B56" s="34" t="s">
        <v>93</v>
      </c>
      <c r="C56" s="34">
        <v>12257.0</v>
      </c>
      <c r="D56" s="34">
        <v>12622.0</v>
      </c>
      <c r="E56" s="24">
        <f t="shared" si="1"/>
        <v>-365</v>
      </c>
      <c r="F56" s="25">
        <f t="shared" si="2"/>
        <v>-0.02891776264</v>
      </c>
      <c r="G56" s="26">
        <f t="shared" si="3"/>
        <v>0.008263115617</v>
      </c>
      <c r="H56" s="27">
        <f t="shared" si="4"/>
        <v>13119.40651</v>
      </c>
      <c r="I56" s="27">
        <f t="shared" si="5"/>
        <v>13124.93453</v>
      </c>
      <c r="J56" s="28">
        <f t="shared" si="6"/>
        <v>0.008232141418</v>
      </c>
      <c r="K56" s="27">
        <f t="shared" si="7"/>
        <v>13070.22855</v>
      </c>
      <c r="L56" s="27">
        <f t="shared" si="8"/>
        <v>13075.73586</v>
      </c>
      <c r="M56" s="27">
        <f t="shared" si="9"/>
        <v>813.2285543</v>
      </c>
      <c r="N56" s="29">
        <f t="shared" si="10"/>
        <v>5.507302609</v>
      </c>
      <c r="O56" s="6">
        <f t="shared" si="11"/>
        <v>-0.002442355984</v>
      </c>
      <c r="P56" s="30">
        <f t="shared" si="12"/>
        <v>12197.2012</v>
      </c>
      <c r="Q56" s="27">
        <v>12317.091973848062</v>
      </c>
      <c r="R56" s="29">
        <f t="shared" si="13"/>
        <v>60.09197385</v>
      </c>
      <c r="S56" s="30">
        <f t="shared" si="14"/>
        <v>12167.41129</v>
      </c>
      <c r="T56" s="27">
        <f t="shared" si="15"/>
        <v>12167.41129</v>
      </c>
      <c r="U56" s="29">
        <f t="shared" si="16"/>
        <v>-149.6806815</v>
      </c>
      <c r="V56" s="27">
        <f t="shared" si="17"/>
        <v>12137.69414</v>
      </c>
      <c r="W56" s="27">
        <v>12377.478558556933</v>
      </c>
      <c r="X56" s="27">
        <f t="shared" si="18"/>
        <v>210.0672662</v>
      </c>
      <c r="Y56" s="31">
        <f t="shared" si="19"/>
        <v>-0.002130056018</v>
      </c>
      <c r="Z56" s="32">
        <f t="shared" si="20"/>
        <v>-0.002442355984</v>
      </c>
      <c r="AA56" s="32">
        <f t="shared" si="21"/>
        <v>-30.82741723</v>
      </c>
      <c r="AB56" s="27">
        <f t="shared" si="22"/>
        <v>12197.1837</v>
      </c>
      <c r="AC56" s="27">
        <f t="shared" si="23"/>
        <v>12167.35884</v>
      </c>
      <c r="AD56" s="27">
        <f t="shared" si="24"/>
        <v>12137.58937</v>
      </c>
      <c r="AE56" s="29">
        <f t="shared" si="25"/>
        <v>11359.6922</v>
      </c>
    </row>
    <row r="57" ht="15.75" customHeight="1">
      <c r="A57" s="33">
        <v>2.611606072E9</v>
      </c>
      <c r="B57" s="34" t="s">
        <v>94</v>
      </c>
      <c r="C57" s="34">
        <v>31130.0</v>
      </c>
      <c r="D57" s="34">
        <v>31991.0</v>
      </c>
      <c r="E57" s="24">
        <f t="shared" si="1"/>
        <v>-861</v>
      </c>
      <c r="F57" s="25">
        <f t="shared" si="2"/>
        <v>-0.02691381951</v>
      </c>
      <c r="G57" s="26">
        <f t="shared" si="3"/>
        <v>0.0209432207</v>
      </c>
      <c r="H57" s="27">
        <f t="shared" si="4"/>
        <v>33251.69811</v>
      </c>
      <c r="I57" s="27">
        <f t="shared" si="5"/>
        <v>33265.70913</v>
      </c>
      <c r="J57" s="28">
        <f t="shared" si="6"/>
        <v>0.02090777208</v>
      </c>
      <c r="K57" s="27">
        <f t="shared" si="7"/>
        <v>33195.41608</v>
      </c>
      <c r="L57" s="27">
        <f t="shared" si="8"/>
        <v>33209.40338</v>
      </c>
      <c r="M57" s="27">
        <f t="shared" si="9"/>
        <v>2065.41608</v>
      </c>
      <c r="N57" s="29">
        <f t="shared" si="10"/>
        <v>13.98729952</v>
      </c>
      <c r="O57" s="6">
        <f t="shared" si="11"/>
        <v>-0.002270969836</v>
      </c>
      <c r="P57" s="30">
        <f t="shared" si="12"/>
        <v>30988.76996</v>
      </c>
      <c r="Q57" s="27">
        <v>31271.87368516887</v>
      </c>
      <c r="R57" s="29">
        <f t="shared" si="13"/>
        <v>141.8736852</v>
      </c>
      <c r="S57" s="30">
        <f t="shared" si="14"/>
        <v>30918.3954</v>
      </c>
      <c r="T57" s="27">
        <f t="shared" si="15"/>
        <v>30918.3954</v>
      </c>
      <c r="U57" s="29">
        <f t="shared" si="16"/>
        <v>-353.4782822</v>
      </c>
      <c r="V57" s="27">
        <f t="shared" si="17"/>
        <v>30848.18066</v>
      </c>
      <c r="W57" s="27">
        <v>31414.393953779545</v>
      </c>
      <c r="X57" s="27">
        <f t="shared" si="18"/>
        <v>495.9985508</v>
      </c>
      <c r="Y57" s="31">
        <f t="shared" si="19"/>
        <v>-0.002130056018</v>
      </c>
      <c r="Z57" s="32">
        <f t="shared" si="20"/>
        <v>-0.002270969836</v>
      </c>
      <c r="AA57" s="32">
        <f t="shared" si="21"/>
        <v>-72.65059603</v>
      </c>
      <c r="AB57" s="27">
        <f t="shared" si="22"/>
        <v>30988.75066</v>
      </c>
      <c r="AC57" s="27">
        <f t="shared" si="23"/>
        <v>30918.33755</v>
      </c>
      <c r="AD57" s="27">
        <f t="shared" si="24"/>
        <v>30848.06508</v>
      </c>
      <c r="AE57" s="29">
        <f t="shared" si="25"/>
        <v>28865.98501</v>
      </c>
    </row>
    <row r="58" ht="15.75" customHeight="1">
      <c r="A58" s="33">
        <v>2.611606002E9</v>
      </c>
      <c r="B58" s="34" t="s">
        <v>95</v>
      </c>
      <c r="C58" s="34">
        <v>27103.0</v>
      </c>
      <c r="D58" s="34">
        <v>27814.0</v>
      </c>
      <c r="E58" s="24">
        <f t="shared" si="1"/>
        <v>-711</v>
      </c>
      <c r="F58" s="25">
        <f t="shared" si="2"/>
        <v>-0.02556266628</v>
      </c>
      <c r="G58" s="26">
        <f t="shared" si="3"/>
        <v>0.01820870684</v>
      </c>
      <c r="H58" s="27">
        <f t="shared" si="4"/>
        <v>28910.09132</v>
      </c>
      <c r="I58" s="27">
        <f t="shared" si="5"/>
        <v>28922.27294</v>
      </c>
      <c r="J58" s="28">
        <f t="shared" si="6"/>
        <v>0.0182031271</v>
      </c>
      <c r="K58" s="27">
        <f t="shared" si="7"/>
        <v>28901.23232</v>
      </c>
      <c r="L58" s="27">
        <f t="shared" si="8"/>
        <v>28913.41021</v>
      </c>
      <c r="M58" s="27">
        <f t="shared" si="9"/>
        <v>1798.232317</v>
      </c>
      <c r="N58" s="29">
        <f t="shared" si="10"/>
        <v>12.17789203</v>
      </c>
      <c r="O58" s="6">
        <f t="shared" si="11"/>
        <v>-0.002155595709</v>
      </c>
      <c r="P58" s="30">
        <f t="shared" si="12"/>
        <v>26986.27972</v>
      </c>
      <c r="Q58" s="27">
        <v>27220.225119609535</v>
      </c>
      <c r="R58" s="29">
        <f t="shared" si="13"/>
        <v>117.2251196</v>
      </c>
      <c r="S58" s="30">
        <f t="shared" si="14"/>
        <v>26928.10821</v>
      </c>
      <c r="T58" s="27">
        <f t="shared" si="15"/>
        <v>26928.10821</v>
      </c>
      <c r="U58" s="29">
        <f t="shared" si="16"/>
        <v>-292.1169127</v>
      </c>
      <c r="V58" s="27">
        <f t="shared" si="17"/>
        <v>26870.06209</v>
      </c>
      <c r="W58" s="27">
        <v>27337.95725795012</v>
      </c>
      <c r="X58" s="27">
        <f t="shared" si="18"/>
        <v>409.8490511</v>
      </c>
      <c r="Y58" s="31">
        <f t="shared" si="19"/>
        <v>-0.002130056018</v>
      </c>
      <c r="Z58" s="32">
        <f t="shared" si="20"/>
        <v>-0.002155595709</v>
      </c>
      <c r="AA58" s="32">
        <f t="shared" si="21"/>
        <v>-59.95573904</v>
      </c>
      <c r="AB58" s="27">
        <f t="shared" si="22"/>
        <v>26986.27675</v>
      </c>
      <c r="AC58" s="27">
        <f t="shared" si="23"/>
        <v>26928.09932</v>
      </c>
      <c r="AD58" s="27">
        <f t="shared" si="24"/>
        <v>26870.04433</v>
      </c>
      <c r="AE58" s="29">
        <f t="shared" si="25"/>
        <v>25140.61792</v>
      </c>
    </row>
    <row r="59" ht="15.75" customHeight="1">
      <c r="A59" s="33">
        <v>2.611606063E9</v>
      </c>
      <c r="B59" s="34" t="s">
        <v>96</v>
      </c>
      <c r="C59" s="34">
        <v>11412.0</v>
      </c>
      <c r="D59" s="34">
        <v>11680.0</v>
      </c>
      <c r="E59" s="24">
        <f t="shared" si="1"/>
        <v>-268</v>
      </c>
      <c r="F59" s="25">
        <f t="shared" si="2"/>
        <v>-0.02294520548</v>
      </c>
      <c r="G59" s="26">
        <f t="shared" si="3"/>
        <v>0.007646426114</v>
      </c>
      <c r="H59" s="27">
        <f t="shared" si="4"/>
        <v>12140.28427</v>
      </c>
      <c r="I59" s="27">
        <f t="shared" si="5"/>
        <v>12145.39973</v>
      </c>
      <c r="J59" s="28">
        <f t="shared" si="6"/>
        <v>0.007664615963</v>
      </c>
      <c r="K59" s="27">
        <f t="shared" si="7"/>
        <v>12169.16442</v>
      </c>
      <c r="L59" s="27">
        <f t="shared" si="8"/>
        <v>12174.29205</v>
      </c>
      <c r="M59" s="27">
        <f t="shared" si="9"/>
        <v>757.1644172</v>
      </c>
      <c r="N59" s="29">
        <f t="shared" si="10"/>
        <v>5.127628079</v>
      </c>
      <c r="O59" s="6">
        <f t="shared" si="11"/>
        <v>-0.001932508966</v>
      </c>
      <c r="P59" s="30">
        <f t="shared" si="12"/>
        <v>11367.93503</v>
      </c>
      <c r="Q59" s="27">
        <v>11456.23577234127</v>
      </c>
      <c r="R59" s="29">
        <f t="shared" si="13"/>
        <v>44.23577234</v>
      </c>
      <c r="S59" s="30">
        <f t="shared" si="14"/>
        <v>11345.9664</v>
      </c>
      <c r="T59" s="27">
        <f t="shared" si="15"/>
        <v>11345.9664</v>
      </c>
      <c r="U59" s="29">
        <f t="shared" si="16"/>
        <v>-110.2693742</v>
      </c>
      <c r="V59" s="27">
        <f t="shared" si="17"/>
        <v>11324.04022</v>
      </c>
      <c r="W59" s="27">
        <v>11500.643013623534</v>
      </c>
      <c r="X59" s="27">
        <f t="shared" si="18"/>
        <v>154.6766155</v>
      </c>
      <c r="Y59" s="31">
        <f t="shared" si="19"/>
        <v>-0.002130056018</v>
      </c>
      <c r="Z59" s="32">
        <f t="shared" si="20"/>
        <v>-0.001932508966</v>
      </c>
      <c r="AA59" s="32">
        <f t="shared" si="21"/>
        <v>-22.57170472</v>
      </c>
      <c r="AB59" s="27">
        <f t="shared" si="22"/>
        <v>11367.94419</v>
      </c>
      <c r="AC59" s="27">
        <f t="shared" si="23"/>
        <v>11345.99385</v>
      </c>
      <c r="AD59" s="27">
        <f t="shared" si="24"/>
        <v>11324.09506</v>
      </c>
      <c r="AE59" s="29">
        <f t="shared" si="25"/>
        <v>10592.84923</v>
      </c>
    </row>
    <row r="60" ht="15.75" customHeight="1">
      <c r="A60" s="33">
        <v>2.611606088E9</v>
      </c>
      <c r="B60" s="34" t="s">
        <v>97</v>
      </c>
      <c r="C60" s="34">
        <v>20449.0</v>
      </c>
      <c r="D60" s="34">
        <v>20768.0</v>
      </c>
      <c r="E60" s="24">
        <f t="shared" si="1"/>
        <v>-319</v>
      </c>
      <c r="F60" s="25">
        <f t="shared" si="2"/>
        <v>-0.01536016949</v>
      </c>
      <c r="G60" s="26">
        <f t="shared" si="3"/>
        <v>0.0135959741</v>
      </c>
      <c r="H60" s="27">
        <f t="shared" si="4"/>
        <v>21586.42326</v>
      </c>
      <c r="I60" s="27">
        <f t="shared" si="5"/>
        <v>21595.51896</v>
      </c>
      <c r="J60" s="28">
        <f t="shared" si="6"/>
        <v>0.013734116</v>
      </c>
      <c r="K60" s="27">
        <f t="shared" si="7"/>
        <v>21805.75212</v>
      </c>
      <c r="L60" s="27">
        <f t="shared" si="8"/>
        <v>21814.94024</v>
      </c>
      <c r="M60" s="27">
        <f t="shared" si="9"/>
        <v>1356.752118</v>
      </c>
      <c r="N60" s="29">
        <f t="shared" si="10"/>
        <v>9.188123606</v>
      </c>
      <c r="O60" s="6">
        <f t="shared" si="11"/>
        <v>-0.001289114959</v>
      </c>
      <c r="P60" s="30">
        <f t="shared" si="12"/>
        <v>20396.31176</v>
      </c>
      <c r="Q60" s="27">
        <v>20501.824346596746</v>
      </c>
      <c r="R60" s="29">
        <f t="shared" si="13"/>
        <v>52.8243466</v>
      </c>
      <c r="S60" s="30">
        <f t="shared" si="14"/>
        <v>20370.01857</v>
      </c>
      <c r="T60" s="27">
        <f t="shared" si="15"/>
        <v>20370.01857</v>
      </c>
      <c r="U60" s="29">
        <f t="shared" si="16"/>
        <v>-131.8057783</v>
      </c>
      <c r="V60" s="27">
        <f t="shared" si="17"/>
        <v>20343.75927</v>
      </c>
      <c r="W60" s="27">
        <v>20554.785150310876</v>
      </c>
      <c r="X60" s="27">
        <f t="shared" si="18"/>
        <v>184.766582</v>
      </c>
      <c r="Y60" s="31">
        <f t="shared" si="19"/>
        <v>-0.002130056018</v>
      </c>
      <c r="Z60" s="32">
        <f t="shared" si="20"/>
        <v>-0.001289114959</v>
      </c>
      <c r="AA60" s="32">
        <f t="shared" si="21"/>
        <v>-26.77233946</v>
      </c>
      <c r="AB60" s="27">
        <f t="shared" si="22"/>
        <v>20396.37056</v>
      </c>
      <c r="AC60" s="27">
        <f t="shared" si="23"/>
        <v>20370.19481</v>
      </c>
      <c r="AD60" s="27">
        <f t="shared" si="24"/>
        <v>20344.11144</v>
      </c>
      <c r="AE60" s="29">
        <f t="shared" si="25"/>
        <v>19018.02569</v>
      </c>
    </row>
    <row r="61" ht="15.75" customHeight="1">
      <c r="A61" s="33">
        <v>2.611606024E9</v>
      </c>
      <c r="B61" s="34" t="s">
        <v>98</v>
      </c>
      <c r="C61" s="34">
        <v>31783.0</v>
      </c>
      <c r="D61" s="34">
        <v>32113.0</v>
      </c>
      <c r="E61" s="24">
        <f t="shared" si="1"/>
        <v>-330</v>
      </c>
      <c r="F61" s="25">
        <f t="shared" si="2"/>
        <v>-0.01027621213</v>
      </c>
      <c r="G61" s="26">
        <f t="shared" si="3"/>
        <v>0.0210230892</v>
      </c>
      <c r="H61" s="27">
        <f t="shared" si="4"/>
        <v>33378.50588</v>
      </c>
      <c r="I61" s="27">
        <f t="shared" si="5"/>
        <v>33392.57032</v>
      </c>
      <c r="J61" s="28">
        <f t="shared" si="6"/>
        <v>0.021346345</v>
      </c>
      <c r="K61" s="27">
        <f t="shared" si="7"/>
        <v>33891.74138</v>
      </c>
      <c r="L61" s="27">
        <f t="shared" si="8"/>
        <v>33906.02209</v>
      </c>
      <c r="M61" s="27">
        <f t="shared" si="9"/>
        <v>2108.741384</v>
      </c>
      <c r="N61" s="29">
        <f t="shared" si="10"/>
        <v>14.28070481</v>
      </c>
      <c r="O61" s="6">
        <f t="shared" si="11"/>
        <v>-0.0008604110447</v>
      </c>
      <c r="P61" s="30">
        <f t="shared" si="12"/>
        <v>31728.33064</v>
      </c>
      <c r="Q61" s="27">
        <v>31837.763557083366</v>
      </c>
      <c r="R61" s="29">
        <f t="shared" si="13"/>
        <v>54.76355708</v>
      </c>
      <c r="S61" s="30">
        <f t="shared" si="14"/>
        <v>31701.03123</v>
      </c>
      <c r="T61" s="27">
        <f t="shared" si="15"/>
        <v>31701.03123</v>
      </c>
      <c r="U61" s="29">
        <f t="shared" si="16"/>
        <v>-136.7323225</v>
      </c>
      <c r="V61" s="27">
        <f t="shared" si="17"/>
        <v>31673.75532</v>
      </c>
      <c r="W61" s="27">
        <v>31892.621474270698</v>
      </c>
      <c r="X61" s="27">
        <f t="shared" si="18"/>
        <v>191.5902397</v>
      </c>
      <c r="Y61" s="31">
        <f t="shared" si="19"/>
        <v>-0.002130056018</v>
      </c>
      <c r="Z61" s="32">
        <f t="shared" si="20"/>
        <v>-0.0008604110447</v>
      </c>
      <c r="AA61" s="32">
        <f t="shared" si="21"/>
        <v>-27.63037988</v>
      </c>
      <c r="AB61" s="27">
        <f t="shared" si="22"/>
        <v>31728.45132</v>
      </c>
      <c r="AC61" s="27">
        <f t="shared" si="23"/>
        <v>31701.39297</v>
      </c>
      <c r="AD61" s="27">
        <f t="shared" si="24"/>
        <v>31674.47822</v>
      </c>
      <c r="AE61" s="29">
        <f t="shared" si="25"/>
        <v>29597.06138</v>
      </c>
    </row>
    <row r="62" ht="15.75" customHeight="1">
      <c r="A62" s="33">
        <v>2.611606044E9</v>
      </c>
      <c r="B62" s="34" t="s">
        <v>99</v>
      </c>
      <c r="C62" s="34">
        <v>20126.0</v>
      </c>
      <c r="D62" s="34">
        <v>20304.0</v>
      </c>
      <c r="E62" s="24">
        <f t="shared" si="1"/>
        <v>-178</v>
      </c>
      <c r="F62" s="25">
        <f t="shared" si="2"/>
        <v>-0.008766745469</v>
      </c>
      <c r="G62" s="26">
        <f t="shared" si="3"/>
        <v>0.01329221197</v>
      </c>
      <c r="H62" s="27">
        <f t="shared" si="4"/>
        <v>21104.13799</v>
      </c>
      <c r="I62" s="27">
        <f t="shared" si="5"/>
        <v>21113.03048</v>
      </c>
      <c r="J62" s="28">
        <f t="shared" si="6"/>
        <v>0.01351718024</v>
      </c>
      <c r="K62" s="27">
        <f t="shared" si="7"/>
        <v>21461.32168</v>
      </c>
      <c r="L62" s="27">
        <f t="shared" si="8"/>
        <v>21470.36468</v>
      </c>
      <c r="M62" s="27">
        <f t="shared" si="9"/>
        <v>1335.321684</v>
      </c>
      <c r="N62" s="29">
        <f t="shared" si="10"/>
        <v>9.042993579</v>
      </c>
      <c r="O62" s="6">
        <f t="shared" si="11"/>
        <v>-0.0007335141353</v>
      </c>
      <c r="P62" s="30">
        <f t="shared" si="12"/>
        <v>20096.48542</v>
      </c>
      <c r="Q62" s="27">
        <v>20155.557928734088</v>
      </c>
      <c r="R62" s="29">
        <f t="shared" si="13"/>
        <v>29.55792873</v>
      </c>
      <c r="S62" s="30">
        <f t="shared" si="14"/>
        <v>20081.74436</v>
      </c>
      <c r="T62" s="27">
        <f t="shared" si="15"/>
        <v>20081.74436</v>
      </c>
      <c r="U62" s="29">
        <f t="shared" si="16"/>
        <v>-73.81356718</v>
      </c>
      <c r="V62" s="27">
        <f t="shared" si="17"/>
        <v>20067.01412</v>
      </c>
      <c r="W62" s="27">
        <v>20185.159267542265</v>
      </c>
      <c r="X62" s="27">
        <f t="shared" si="18"/>
        <v>103.414906</v>
      </c>
      <c r="Y62" s="31">
        <f t="shared" si="19"/>
        <v>-0.002130056018</v>
      </c>
      <c r="Z62" s="32">
        <f t="shared" si="20"/>
        <v>-0.0007335141353</v>
      </c>
      <c r="AA62" s="32">
        <f t="shared" si="21"/>
        <v>-14.893271</v>
      </c>
      <c r="AB62" s="27">
        <f t="shared" si="22"/>
        <v>20096.5659</v>
      </c>
      <c r="AC62" s="27">
        <f t="shared" si="23"/>
        <v>20081.98563</v>
      </c>
      <c r="AD62" s="27">
        <f t="shared" si="24"/>
        <v>20067.49629</v>
      </c>
      <c r="AE62" s="29">
        <f t="shared" si="25"/>
        <v>18748.94778</v>
      </c>
    </row>
    <row r="63" ht="15.75" customHeight="1">
      <c r="A63" s="33">
        <v>2.611606007E9</v>
      </c>
      <c r="B63" s="34" t="s">
        <v>100</v>
      </c>
      <c r="C63" s="34">
        <v>990.0</v>
      </c>
      <c r="D63" s="34">
        <v>998.0</v>
      </c>
      <c r="E63" s="24">
        <f t="shared" si="1"/>
        <v>-8</v>
      </c>
      <c r="F63" s="25">
        <f t="shared" si="2"/>
        <v>-0.008016032064</v>
      </c>
      <c r="G63" s="26">
        <f t="shared" si="3"/>
        <v>0.0006533504505</v>
      </c>
      <c r="H63" s="27">
        <f t="shared" si="4"/>
        <v>1037.329084</v>
      </c>
      <c r="I63" s="27">
        <f t="shared" si="5"/>
        <v>1037.766175</v>
      </c>
      <c r="J63" s="28">
        <f t="shared" si="6"/>
        <v>0.0006649114795</v>
      </c>
      <c r="K63" s="27">
        <f t="shared" si="7"/>
        <v>1055.68461</v>
      </c>
      <c r="L63" s="27">
        <f t="shared" si="8"/>
        <v>1056.129436</v>
      </c>
      <c r="M63" s="27">
        <f t="shared" si="9"/>
        <v>65.68461032</v>
      </c>
      <c r="N63" s="29">
        <f t="shared" si="10"/>
        <v>0.4448257798</v>
      </c>
      <c r="O63" s="6">
        <f t="shared" si="11"/>
        <v>-0.0006704695667</v>
      </c>
      <c r="P63" s="30">
        <f t="shared" si="12"/>
        <v>988.6729153</v>
      </c>
      <c r="Q63" s="27">
        <v>991.3288660389649</v>
      </c>
      <c r="R63" s="29">
        <f t="shared" si="13"/>
        <v>1.328866039</v>
      </c>
      <c r="S63" s="30">
        <f t="shared" si="14"/>
        <v>988.0100402</v>
      </c>
      <c r="T63" s="27">
        <f t="shared" si="15"/>
        <v>988.0100402</v>
      </c>
      <c r="U63" s="29">
        <f t="shared" si="16"/>
        <v>-3.318825848</v>
      </c>
      <c r="V63" s="27">
        <f t="shared" si="17"/>
        <v>987.3476095</v>
      </c>
      <c r="W63" s="27">
        <v>992.6595158001008</v>
      </c>
      <c r="X63" s="27">
        <f t="shared" si="18"/>
        <v>4.649475609</v>
      </c>
      <c r="Y63" s="31">
        <f t="shared" si="19"/>
        <v>-0.002130056018</v>
      </c>
      <c r="Z63" s="32">
        <f t="shared" si="20"/>
        <v>-0.0006704695667</v>
      </c>
      <c r="AA63" s="32">
        <f t="shared" si="21"/>
        <v>-0.6691286275</v>
      </c>
      <c r="AB63" s="27">
        <f t="shared" si="22"/>
        <v>988.676962</v>
      </c>
      <c r="AC63" s="27">
        <f t="shared" si="23"/>
        <v>988.0221711</v>
      </c>
      <c r="AD63" s="27">
        <f t="shared" si="24"/>
        <v>987.3718529</v>
      </c>
      <c r="AE63" s="29">
        <f t="shared" si="25"/>
        <v>922.4374736</v>
      </c>
    </row>
    <row r="64" ht="15.75" customHeight="1">
      <c r="A64" s="33">
        <v>2.611606093E9</v>
      </c>
      <c r="B64" s="34" t="s">
        <v>101</v>
      </c>
      <c r="C64" s="34">
        <v>29195.0</v>
      </c>
      <c r="D64" s="34">
        <v>29153.0</v>
      </c>
      <c r="E64" s="24">
        <f t="shared" si="1"/>
        <v>42</v>
      </c>
      <c r="F64" s="25">
        <f t="shared" si="2"/>
        <v>0.001440675059</v>
      </c>
      <c r="G64" s="26">
        <f t="shared" si="3"/>
        <v>0.01908529628</v>
      </c>
      <c r="H64" s="27">
        <f t="shared" si="4"/>
        <v>30301.85849</v>
      </c>
      <c r="I64" s="27">
        <f t="shared" si="5"/>
        <v>30314.62656</v>
      </c>
      <c r="J64" s="28">
        <f t="shared" si="6"/>
        <v>0.01960817237</v>
      </c>
      <c r="K64" s="27">
        <f t="shared" si="7"/>
        <v>31132.03252</v>
      </c>
      <c r="L64" s="27">
        <f t="shared" si="8"/>
        <v>31145.15039</v>
      </c>
      <c r="M64" s="27">
        <f t="shared" si="9"/>
        <v>1937.032524</v>
      </c>
      <c r="N64" s="29">
        <f t="shared" si="10"/>
        <v>13.11786731</v>
      </c>
      <c r="O64" s="6">
        <f t="shared" si="11"/>
        <v>0.0001199770535</v>
      </c>
      <c r="P64" s="30">
        <f t="shared" si="12"/>
        <v>29202.00588</v>
      </c>
      <c r="Q64" s="27">
        <v>29187.995800383447</v>
      </c>
      <c r="R64" s="29">
        <f t="shared" si="13"/>
        <v>-7.004199617</v>
      </c>
      <c r="S64" s="30">
        <f t="shared" si="14"/>
        <v>29205.50945</v>
      </c>
      <c r="T64" s="27">
        <f t="shared" si="15"/>
        <v>29205.50945</v>
      </c>
      <c r="U64" s="29">
        <f t="shared" si="16"/>
        <v>17.51365064</v>
      </c>
      <c r="V64" s="27">
        <f t="shared" si="17"/>
        <v>29209.01344</v>
      </c>
      <c r="W64" s="27">
        <v>29180.99328115094</v>
      </c>
      <c r="X64" s="27">
        <f t="shared" si="18"/>
        <v>-24.51616988</v>
      </c>
      <c r="Y64" s="31">
        <f t="shared" si="19"/>
        <v>-0.002130056018</v>
      </c>
      <c r="Z64" s="32">
        <f t="shared" si="20"/>
        <v>0.0001199770535</v>
      </c>
      <c r="AA64" s="32">
        <f t="shared" si="21"/>
        <v>3.497691042</v>
      </c>
      <c r="AB64" s="27">
        <f t="shared" si="22"/>
        <v>29202.13792</v>
      </c>
      <c r="AC64" s="27">
        <f t="shared" si="23"/>
        <v>29205.90529</v>
      </c>
      <c r="AD64" s="27">
        <f t="shared" si="24"/>
        <v>29209.80456</v>
      </c>
      <c r="AE64" s="29">
        <f t="shared" si="25"/>
        <v>27267.22363</v>
      </c>
    </row>
    <row r="65" ht="15.75" customHeight="1">
      <c r="A65" s="33">
        <v>2.611606069E9</v>
      </c>
      <c r="B65" s="34" t="s">
        <v>102</v>
      </c>
      <c r="C65" s="34">
        <v>70946.0</v>
      </c>
      <c r="D65" s="34">
        <v>70283.0</v>
      </c>
      <c r="E65" s="24">
        <f t="shared" si="1"/>
        <v>663</v>
      </c>
      <c r="F65" s="25">
        <f t="shared" si="2"/>
        <v>0.009433291123</v>
      </c>
      <c r="G65" s="26">
        <f t="shared" si="3"/>
        <v>0.04601145262</v>
      </c>
      <c r="H65" s="27">
        <f t="shared" si="4"/>
        <v>73052.7054</v>
      </c>
      <c r="I65" s="27">
        <f t="shared" si="5"/>
        <v>73083.48706</v>
      </c>
      <c r="J65" s="28">
        <f t="shared" si="6"/>
        <v>0.04764930285</v>
      </c>
      <c r="K65" s="27">
        <f t="shared" si="7"/>
        <v>75653.13168</v>
      </c>
      <c r="L65" s="27">
        <f t="shared" si="8"/>
        <v>75685.00906</v>
      </c>
      <c r="M65" s="27">
        <f t="shared" si="9"/>
        <v>4707.131681</v>
      </c>
      <c r="N65" s="29">
        <f t="shared" si="10"/>
        <v>31.87738361</v>
      </c>
      <c r="O65" s="6">
        <f t="shared" si="11"/>
        <v>0.0007827291294</v>
      </c>
      <c r="P65" s="30">
        <f t="shared" si="12"/>
        <v>71057.10647</v>
      </c>
      <c r="Q65" s="27">
        <v>70835.06726078162</v>
      </c>
      <c r="R65" s="29">
        <f t="shared" si="13"/>
        <v>-110.9327392</v>
      </c>
      <c r="S65" s="30">
        <f t="shared" si="14"/>
        <v>71112.72493</v>
      </c>
      <c r="T65" s="27">
        <f t="shared" si="15"/>
        <v>71112.72493</v>
      </c>
      <c r="U65" s="29">
        <f t="shared" si="16"/>
        <v>277.6576741</v>
      </c>
      <c r="V65" s="27">
        <f t="shared" si="17"/>
        <v>71168.38694</v>
      </c>
      <c r="W65" s="27">
        <v>70724.30797845483</v>
      </c>
      <c r="X65" s="27">
        <f t="shared" si="18"/>
        <v>-388.4169564</v>
      </c>
      <c r="Y65" s="31">
        <f t="shared" si="19"/>
        <v>-0.002130056018</v>
      </c>
      <c r="Z65" s="32">
        <f t="shared" si="20"/>
        <v>0.0007827291294</v>
      </c>
      <c r="AA65" s="32">
        <f t="shared" si="21"/>
        <v>55.0125514</v>
      </c>
      <c r="AB65" s="27">
        <f t="shared" si="22"/>
        <v>71057.38489</v>
      </c>
      <c r="AC65" s="27">
        <f t="shared" si="23"/>
        <v>71113.55949</v>
      </c>
      <c r="AD65" s="27">
        <f t="shared" si="24"/>
        <v>71170.05461</v>
      </c>
      <c r="AE65" s="29">
        <f t="shared" si="25"/>
        <v>66393.05683</v>
      </c>
    </row>
    <row r="66" ht="15.75" customHeight="1">
      <c r="A66" s="33">
        <v>2.61160608E9</v>
      </c>
      <c r="B66" s="34" t="s">
        <v>103</v>
      </c>
      <c r="C66" s="36">
        <v>16559.0</v>
      </c>
      <c r="D66" s="34">
        <v>16194.0</v>
      </c>
      <c r="E66" s="24">
        <f t="shared" si="1"/>
        <v>365</v>
      </c>
      <c r="F66" s="25">
        <f t="shared" si="2"/>
        <v>0.02253921205</v>
      </c>
      <c r="G66" s="26">
        <f t="shared" si="3"/>
        <v>0.01060156032</v>
      </c>
      <c r="H66" s="27">
        <f t="shared" si="4"/>
        <v>16832.17152</v>
      </c>
      <c r="I66" s="27">
        <f t="shared" si="5"/>
        <v>16839.26397</v>
      </c>
      <c r="J66" s="28">
        <f t="shared" si="6"/>
        <v>0.01112148403</v>
      </c>
      <c r="K66" s="27">
        <f t="shared" si="7"/>
        <v>17657.65804</v>
      </c>
      <c r="L66" s="27">
        <f t="shared" si="8"/>
        <v>17665.09832</v>
      </c>
      <c r="M66" s="27">
        <f t="shared" si="9"/>
        <v>1098.658043</v>
      </c>
      <c r="N66" s="29">
        <f t="shared" si="10"/>
        <v>7.440272815</v>
      </c>
      <c r="O66" s="6">
        <f t="shared" si="11"/>
        <v>0.001859139177</v>
      </c>
      <c r="P66" s="30">
        <f t="shared" si="12"/>
        <v>16620.62821</v>
      </c>
      <c r="Q66" s="27">
        <v>16497.60030761537</v>
      </c>
      <c r="R66" s="29">
        <f t="shared" si="13"/>
        <v>-61.39969238</v>
      </c>
      <c r="S66" s="30">
        <f t="shared" si="14"/>
        <v>16651.52827</v>
      </c>
      <c r="T66" s="27">
        <f t="shared" si="15"/>
        <v>16651.52827</v>
      </c>
      <c r="U66" s="29">
        <f t="shared" si="16"/>
        <v>153.9279592</v>
      </c>
      <c r="V66" s="27">
        <f t="shared" si="17"/>
        <v>16682.48578</v>
      </c>
      <c r="W66" s="27">
        <v>16436.428281286957</v>
      </c>
      <c r="X66" s="27">
        <f t="shared" si="18"/>
        <v>-215.0999855</v>
      </c>
      <c r="Y66" s="31">
        <f t="shared" si="19"/>
        <v>-0.002130056018</v>
      </c>
      <c r="Z66" s="32">
        <f t="shared" si="20"/>
        <v>0.001859139177</v>
      </c>
      <c r="AA66" s="32">
        <f t="shared" si="21"/>
        <v>30.10689983</v>
      </c>
      <c r="AB66" s="27">
        <f t="shared" si="22"/>
        <v>16620.6461</v>
      </c>
      <c r="AC66" s="27">
        <f t="shared" si="23"/>
        <v>16651.58169</v>
      </c>
      <c r="AD66" s="27">
        <f t="shared" si="24"/>
        <v>16682.59209</v>
      </c>
      <c r="AE66" s="29">
        <f t="shared" si="25"/>
        <v>15546.25331</v>
      </c>
    </row>
    <row r="67" ht="15.75" customHeight="1">
      <c r="A67" s="33">
        <v>2.611606092E9</v>
      </c>
      <c r="B67" s="34" t="s">
        <v>104</v>
      </c>
      <c r="C67" s="34">
        <v>125805.0</v>
      </c>
      <c r="D67" s="34">
        <v>122689.0</v>
      </c>
      <c r="E67" s="24">
        <f t="shared" si="1"/>
        <v>3116</v>
      </c>
      <c r="F67" s="25">
        <f t="shared" si="2"/>
        <v>0.0253975499</v>
      </c>
      <c r="G67" s="26">
        <f t="shared" si="3"/>
        <v>0.08031955253</v>
      </c>
      <c r="H67" s="27">
        <f t="shared" si="4"/>
        <v>127523.9158</v>
      </c>
      <c r="I67" s="27">
        <f t="shared" si="5"/>
        <v>127577.6496</v>
      </c>
      <c r="J67" s="28">
        <f t="shared" si="6"/>
        <v>0.08449412997</v>
      </c>
      <c r="K67" s="27">
        <f t="shared" si="7"/>
        <v>134151.9216</v>
      </c>
      <c r="L67" s="27">
        <f t="shared" si="8"/>
        <v>134208.4482</v>
      </c>
      <c r="M67" s="27">
        <f t="shared" si="9"/>
        <v>8346.921618</v>
      </c>
      <c r="N67" s="29">
        <f t="shared" si="10"/>
        <v>56.52657295</v>
      </c>
      <c r="O67" s="6">
        <f t="shared" si="11"/>
        <v>0.00209221822</v>
      </c>
      <c r="P67" s="30">
        <f t="shared" si="12"/>
        <v>126331.9737</v>
      </c>
      <c r="Q67" s="27">
        <v>125280.22446466557</v>
      </c>
      <c r="R67" s="29">
        <f t="shared" si="13"/>
        <v>-524.7755353</v>
      </c>
      <c r="S67" s="30">
        <f t="shared" si="14"/>
        <v>126596.2878</v>
      </c>
      <c r="T67" s="27">
        <f t="shared" si="15"/>
        <v>126596.2878</v>
      </c>
      <c r="U67" s="29">
        <f t="shared" si="16"/>
        <v>1316.063315</v>
      </c>
      <c r="V67" s="27">
        <f t="shared" si="17"/>
        <v>126861.1548</v>
      </c>
      <c r="W67" s="27">
        <v>124757.63794695753</v>
      </c>
      <c r="X67" s="27">
        <f t="shared" si="18"/>
        <v>-1838.649833</v>
      </c>
      <c r="Y67" s="31">
        <f t="shared" si="19"/>
        <v>-0.002130056018</v>
      </c>
      <c r="Z67" s="32">
        <f t="shared" si="20"/>
        <v>0.00209221822</v>
      </c>
      <c r="AA67" s="32">
        <f t="shared" si="21"/>
        <v>256.6921612</v>
      </c>
      <c r="AB67" s="27">
        <f t="shared" si="22"/>
        <v>126331.9938</v>
      </c>
      <c r="AC67" s="27">
        <f t="shared" si="23"/>
        <v>126596.3457</v>
      </c>
      <c r="AD67" s="27">
        <f t="shared" si="24"/>
        <v>126861.266</v>
      </c>
      <c r="AE67" s="29">
        <f t="shared" si="25"/>
        <v>118192.9077</v>
      </c>
    </row>
    <row r="68" ht="15.75" customHeight="1">
      <c r="A68" s="33">
        <v>2.611606016E9</v>
      </c>
      <c r="B68" s="34" t="s">
        <v>105</v>
      </c>
      <c r="C68" s="34">
        <v>10741.0</v>
      </c>
      <c r="D68" s="34">
        <v>10399.0</v>
      </c>
      <c r="E68" s="24">
        <f t="shared" si="1"/>
        <v>342</v>
      </c>
      <c r="F68" s="25">
        <f t="shared" si="2"/>
        <v>0.03288777767</v>
      </c>
      <c r="G68" s="26">
        <f t="shared" si="3"/>
        <v>0.006807806949</v>
      </c>
      <c r="H68" s="27">
        <f t="shared" si="4"/>
        <v>10808.80275</v>
      </c>
      <c r="I68" s="27">
        <f t="shared" si="5"/>
        <v>10813.35717</v>
      </c>
      <c r="J68" s="28">
        <f t="shared" si="6"/>
        <v>0.007213953738</v>
      </c>
      <c r="K68" s="27">
        <f t="shared" si="7"/>
        <v>11453.64485</v>
      </c>
      <c r="L68" s="27">
        <f t="shared" si="8"/>
        <v>11458.47098</v>
      </c>
      <c r="M68" s="27">
        <f t="shared" si="9"/>
        <v>712.6448479</v>
      </c>
      <c r="N68" s="29">
        <f t="shared" si="10"/>
        <v>4.826135051</v>
      </c>
      <c r="O68" s="6">
        <f t="shared" si="11"/>
        <v>0.002700184527</v>
      </c>
      <c r="P68" s="30">
        <f t="shared" si="12"/>
        <v>10799.08368</v>
      </c>
      <c r="Q68" s="27">
        <v>10683.228730775854</v>
      </c>
      <c r="R68" s="29">
        <f t="shared" si="13"/>
        <v>-57.77126922</v>
      </c>
      <c r="S68" s="30">
        <f t="shared" si="14"/>
        <v>10828.2432</v>
      </c>
      <c r="T68" s="27">
        <f t="shared" si="15"/>
        <v>10828.2432</v>
      </c>
      <c r="U68" s="29">
        <f t="shared" si="16"/>
        <v>145.0144645</v>
      </c>
      <c r="V68" s="27">
        <f t="shared" si="17"/>
        <v>10857.48145</v>
      </c>
      <c r="W68" s="27">
        <v>10625.768188629985</v>
      </c>
      <c r="X68" s="27">
        <f t="shared" si="18"/>
        <v>-202.4750066</v>
      </c>
      <c r="Y68" s="31">
        <f t="shared" si="19"/>
        <v>-0.002130056018</v>
      </c>
      <c r="Z68" s="32">
        <f t="shared" si="20"/>
        <v>0.002700184527</v>
      </c>
      <c r="AA68" s="32">
        <f t="shared" si="21"/>
        <v>28.0792189</v>
      </c>
      <c r="AB68" s="27">
        <f t="shared" si="22"/>
        <v>10799.0541</v>
      </c>
      <c r="AC68" s="27">
        <f t="shared" si="23"/>
        <v>10828.15414</v>
      </c>
      <c r="AD68" s="27">
        <f t="shared" si="24"/>
        <v>10857.30271</v>
      </c>
      <c r="AE68" s="29">
        <f t="shared" si="25"/>
        <v>10109.38362</v>
      </c>
    </row>
    <row r="69" ht="15.75" customHeight="1">
      <c r="A69" s="33">
        <v>2.611606011E9</v>
      </c>
      <c r="B69" s="34" t="s">
        <v>106</v>
      </c>
      <c r="C69" s="34">
        <v>8876.0</v>
      </c>
      <c r="D69" s="34">
        <v>8533.0</v>
      </c>
      <c r="E69" s="24">
        <f t="shared" si="1"/>
        <v>343</v>
      </c>
      <c r="F69" s="25">
        <f t="shared" si="2"/>
        <v>0.04019688269</v>
      </c>
      <c r="G69" s="26">
        <f t="shared" si="3"/>
        <v>0.005586211818</v>
      </c>
      <c r="H69" s="27">
        <f t="shared" si="4"/>
        <v>8869.267607</v>
      </c>
      <c r="I69" s="27">
        <f t="shared" si="5"/>
        <v>8873.004782</v>
      </c>
      <c r="J69" s="28">
        <f t="shared" si="6"/>
        <v>0.005961367971</v>
      </c>
      <c r="K69" s="27">
        <f t="shared" si="7"/>
        <v>9464.905658</v>
      </c>
      <c r="L69" s="27">
        <f t="shared" si="8"/>
        <v>9468.893813</v>
      </c>
      <c r="M69" s="27">
        <f t="shared" si="9"/>
        <v>588.9056578</v>
      </c>
      <c r="N69" s="29">
        <f t="shared" si="10"/>
        <v>3.988155173</v>
      </c>
      <c r="O69" s="6">
        <f t="shared" si="11"/>
        <v>0.003289565912</v>
      </c>
      <c r="P69" s="30">
        <f t="shared" si="12"/>
        <v>8934.492423</v>
      </c>
      <c r="Q69" s="27">
        <v>8817.890515350737</v>
      </c>
      <c r="R69" s="29">
        <f t="shared" si="13"/>
        <v>-58.10948465</v>
      </c>
      <c r="S69" s="30">
        <f t="shared" si="14"/>
        <v>8963.883025</v>
      </c>
      <c r="T69" s="27">
        <f t="shared" si="15"/>
        <v>8963.883025</v>
      </c>
      <c r="U69" s="29">
        <f t="shared" si="16"/>
        <v>145.9925098</v>
      </c>
      <c r="V69" s="27">
        <f t="shared" si="17"/>
        <v>8993.370309</v>
      </c>
      <c r="W69" s="27">
        <v>8760.161462450707</v>
      </c>
      <c r="X69" s="27">
        <f t="shared" si="18"/>
        <v>-203.7215627</v>
      </c>
      <c r="Y69" s="31">
        <f t="shared" si="19"/>
        <v>-0.002130056018</v>
      </c>
      <c r="Z69" s="32">
        <f t="shared" si="20"/>
        <v>0.003289565912</v>
      </c>
      <c r="AA69" s="32">
        <f t="shared" si="21"/>
        <v>28.06986592</v>
      </c>
      <c r="AB69" s="27">
        <f t="shared" si="22"/>
        <v>8934.436646</v>
      </c>
      <c r="AC69" s="27">
        <f t="shared" si="23"/>
        <v>8963.71529</v>
      </c>
      <c r="AD69" s="27">
        <f t="shared" si="24"/>
        <v>8993.034035</v>
      </c>
      <c r="AE69" s="29">
        <f t="shared" si="25"/>
        <v>8368.705813</v>
      </c>
    </row>
    <row r="70" ht="15.75" customHeight="1">
      <c r="A70" s="33">
        <v>2.611606003E9</v>
      </c>
      <c r="B70" s="34" t="s">
        <v>107</v>
      </c>
      <c r="C70" s="34">
        <v>13147.0</v>
      </c>
      <c r="D70" s="34">
        <v>12573.0</v>
      </c>
      <c r="E70" s="24">
        <f t="shared" si="1"/>
        <v>574</v>
      </c>
      <c r="F70" s="25">
        <f t="shared" si="2"/>
        <v>0.04565338424</v>
      </c>
      <c r="G70" s="26">
        <f t="shared" si="3"/>
        <v>0.008231037289</v>
      </c>
      <c r="H70" s="27">
        <f t="shared" si="4"/>
        <v>13068.47552</v>
      </c>
      <c r="I70" s="27">
        <f t="shared" si="5"/>
        <v>13073.98208</v>
      </c>
      <c r="J70" s="28">
        <f t="shared" si="6"/>
        <v>0.008829890122</v>
      </c>
      <c r="K70" s="27">
        <f t="shared" si="7"/>
        <v>14019.27836</v>
      </c>
      <c r="L70" s="27">
        <f t="shared" si="8"/>
        <v>14025.18555</v>
      </c>
      <c r="M70" s="27">
        <f t="shared" si="9"/>
        <v>872.2783555</v>
      </c>
      <c r="N70" s="29">
        <f t="shared" si="10"/>
        <v>5.907196491</v>
      </c>
      <c r="O70" s="6">
        <f t="shared" si="11"/>
        <v>0.003727089898</v>
      </c>
      <c r="P70" s="30">
        <f t="shared" si="12"/>
        <v>13245.18273</v>
      </c>
      <c r="Q70" s="27">
        <v>13049.545070946986</v>
      </c>
      <c r="R70" s="29">
        <f t="shared" si="13"/>
        <v>-97.45492905</v>
      </c>
      <c r="S70" s="30">
        <f t="shared" si="14"/>
        <v>13294.54872</v>
      </c>
      <c r="T70" s="27">
        <f t="shared" si="15"/>
        <v>13294.54872</v>
      </c>
      <c r="U70" s="29">
        <f t="shared" si="16"/>
        <v>245.0036452</v>
      </c>
      <c r="V70" s="27">
        <f t="shared" si="17"/>
        <v>13344.09869</v>
      </c>
      <c r="W70" s="27">
        <v>12952.812547248559</v>
      </c>
      <c r="X70" s="27">
        <f t="shared" si="18"/>
        <v>-341.7361689</v>
      </c>
      <c r="Y70" s="31">
        <f t="shared" si="19"/>
        <v>-0.002130056018</v>
      </c>
      <c r="Z70" s="32">
        <f t="shared" si="20"/>
        <v>0.003727089898</v>
      </c>
      <c r="AA70" s="32">
        <f t="shared" si="21"/>
        <v>46.86070129</v>
      </c>
      <c r="AB70" s="27">
        <f t="shared" si="22"/>
        <v>13245.05975</v>
      </c>
      <c r="AC70" s="27">
        <f t="shared" si="23"/>
        <v>13294.17897</v>
      </c>
      <c r="AD70" s="27">
        <f t="shared" si="24"/>
        <v>13343.35759</v>
      </c>
      <c r="AE70" s="29">
        <f t="shared" si="25"/>
        <v>12411.71426</v>
      </c>
    </row>
    <row r="71" ht="15.75" customHeight="1">
      <c r="A71" s="33">
        <v>2.611606064E9</v>
      </c>
      <c r="B71" s="34" t="s">
        <v>108</v>
      </c>
      <c r="C71" s="34">
        <v>3946.0</v>
      </c>
      <c r="D71" s="34">
        <v>3734.0</v>
      </c>
      <c r="E71" s="24">
        <f t="shared" si="1"/>
        <v>212</v>
      </c>
      <c r="F71" s="25">
        <f t="shared" si="2"/>
        <v>0.05677557579</v>
      </c>
      <c r="G71" s="26">
        <f t="shared" si="3"/>
        <v>0.002444499581</v>
      </c>
      <c r="H71" s="27">
        <f t="shared" si="4"/>
        <v>3881.149097</v>
      </c>
      <c r="I71" s="27">
        <f t="shared" si="5"/>
        <v>3882.784467</v>
      </c>
      <c r="J71" s="28">
        <f t="shared" si="6"/>
        <v>0.002650243129</v>
      </c>
      <c r="K71" s="27">
        <f t="shared" si="7"/>
        <v>4207.809568</v>
      </c>
      <c r="L71" s="27">
        <f t="shared" si="8"/>
        <v>4209.582581</v>
      </c>
      <c r="M71" s="27">
        <f t="shared" si="9"/>
        <v>261.809568</v>
      </c>
      <c r="N71" s="29">
        <f t="shared" si="10"/>
        <v>1.773012653</v>
      </c>
      <c r="O71" s="6">
        <f t="shared" si="11"/>
        <v>0.004612468375</v>
      </c>
      <c r="P71" s="30">
        <f t="shared" si="12"/>
        <v>3982.485551</v>
      </c>
      <c r="Q71" s="27">
        <v>3909.848711431891</v>
      </c>
      <c r="R71" s="29">
        <f t="shared" si="13"/>
        <v>-36.15128857</v>
      </c>
      <c r="S71" s="30">
        <f t="shared" si="14"/>
        <v>4000.85464</v>
      </c>
      <c r="T71" s="27">
        <f t="shared" si="15"/>
        <v>4000.85464</v>
      </c>
      <c r="U71" s="29">
        <f t="shared" si="16"/>
        <v>91.00592826</v>
      </c>
      <c r="V71" s="27">
        <f t="shared" si="17"/>
        <v>4019.308455</v>
      </c>
      <c r="W71" s="27">
        <v>3874.0286229816566</v>
      </c>
      <c r="X71" s="27">
        <f t="shared" si="18"/>
        <v>-126.8260167</v>
      </c>
      <c r="Y71" s="31">
        <f t="shared" si="19"/>
        <v>-0.002130056018</v>
      </c>
      <c r="Z71" s="32">
        <f t="shared" si="20"/>
        <v>0.004612468375</v>
      </c>
      <c r="AA71" s="32">
        <f t="shared" si="21"/>
        <v>17.22295691</v>
      </c>
      <c r="AB71" s="27">
        <f t="shared" si="22"/>
        <v>3982.419504</v>
      </c>
      <c r="AC71" s="27">
        <f t="shared" si="23"/>
        <v>4000.656073</v>
      </c>
      <c r="AD71" s="27">
        <f t="shared" si="24"/>
        <v>4018.91047</v>
      </c>
      <c r="AE71" s="29">
        <f t="shared" si="25"/>
        <v>3735.09339</v>
      </c>
    </row>
    <row r="72" ht="15.75" customHeight="1">
      <c r="A72" s="33">
        <v>2.611606091E9</v>
      </c>
      <c r="B72" s="34" t="s">
        <v>109</v>
      </c>
      <c r="C72" s="34">
        <v>52158.0</v>
      </c>
      <c r="D72" s="34">
        <v>48488.0</v>
      </c>
      <c r="E72" s="24">
        <f t="shared" si="1"/>
        <v>3670</v>
      </c>
      <c r="F72" s="25">
        <f t="shared" si="2"/>
        <v>0.07568883023</v>
      </c>
      <c r="G72" s="26">
        <f t="shared" si="3"/>
        <v>0.03174314293</v>
      </c>
      <c r="H72" s="27">
        <f t="shared" si="4"/>
        <v>50398.81023</v>
      </c>
      <c r="I72" s="27">
        <f t="shared" si="5"/>
        <v>50420.04639</v>
      </c>
      <c r="J72" s="28">
        <f t="shared" si="6"/>
        <v>0.03503076055</v>
      </c>
      <c r="K72" s="27">
        <f t="shared" si="7"/>
        <v>55618.58374</v>
      </c>
      <c r="L72" s="27">
        <f t="shared" si="8"/>
        <v>55642.01932</v>
      </c>
      <c r="M72" s="27">
        <f t="shared" si="9"/>
        <v>3460.583743</v>
      </c>
      <c r="N72" s="29">
        <f t="shared" si="10"/>
        <v>23.43557881</v>
      </c>
      <c r="O72" s="6">
        <f t="shared" si="11"/>
        <v>0.00609862373</v>
      </c>
      <c r="P72" s="30">
        <f t="shared" si="12"/>
        <v>52796.12396</v>
      </c>
      <c r="Q72" s="27">
        <v>51527.58877218595</v>
      </c>
      <c r="R72" s="29">
        <f t="shared" si="13"/>
        <v>-630.4112278</v>
      </c>
      <c r="S72" s="30">
        <f t="shared" si="14"/>
        <v>53118.10765</v>
      </c>
      <c r="T72" s="27">
        <f t="shared" si="15"/>
        <v>53118.10765</v>
      </c>
      <c r="U72" s="29">
        <f t="shared" si="16"/>
        <v>1590.518879</v>
      </c>
      <c r="V72" s="27">
        <f t="shared" si="17"/>
        <v>53442.055</v>
      </c>
      <c r="W72" s="27">
        <v>50904.797052714894</v>
      </c>
      <c r="X72" s="27">
        <f t="shared" si="18"/>
        <v>-2213.310598</v>
      </c>
      <c r="Y72" s="31">
        <f t="shared" si="19"/>
        <v>-0.002130056018</v>
      </c>
      <c r="Z72" s="32">
        <f t="shared" si="20"/>
        <v>0.00609862373</v>
      </c>
      <c r="AA72" s="32">
        <f t="shared" si="21"/>
        <v>295.7100674</v>
      </c>
      <c r="AB72" s="27">
        <f t="shared" si="22"/>
        <v>52794.42068</v>
      </c>
      <c r="AC72" s="27">
        <f t="shared" si="23"/>
        <v>53112.98549</v>
      </c>
      <c r="AD72" s="27">
        <f t="shared" si="24"/>
        <v>53431.78594</v>
      </c>
      <c r="AE72" s="29">
        <f t="shared" si="25"/>
        <v>49587.35703</v>
      </c>
    </row>
    <row r="73" ht="15.75" customHeight="1">
      <c r="A73" s="33">
        <v>2.611606039E9</v>
      </c>
      <c r="B73" s="34" t="s">
        <v>110</v>
      </c>
      <c r="C73" s="34">
        <v>7996.0</v>
      </c>
      <c r="D73" s="34">
        <v>7275.0</v>
      </c>
      <c r="E73" s="24">
        <f t="shared" si="1"/>
        <v>721</v>
      </c>
      <c r="F73" s="25">
        <f t="shared" si="2"/>
        <v>0.09910652921</v>
      </c>
      <c r="G73" s="26">
        <f t="shared" si="3"/>
        <v>0.004762649827</v>
      </c>
      <c r="H73" s="27">
        <f t="shared" si="4"/>
        <v>7561.692469</v>
      </c>
      <c r="I73" s="27">
        <f t="shared" si="5"/>
        <v>7564.878682</v>
      </c>
      <c r="J73" s="28">
        <f t="shared" si="6"/>
        <v>0.005370335545</v>
      </c>
      <c r="K73" s="27">
        <f t="shared" si="7"/>
        <v>8526.519338</v>
      </c>
      <c r="L73" s="27">
        <f t="shared" si="8"/>
        <v>8530.112092</v>
      </c>
      <c r="M73" s="27">
        <f t="shared" si="9"/>
        <v>530.5193375</v>
      </c>
      <c r="N73" s="29">
        <f t="shared" si="10"/>
        <v>3.59275448</v>
      </c>
      <c r="O73" s="6">
        <f t="shared" si="11"/>
        <v>0.007905888088</v>
      </c>
      <c r="P73" s="30">
        <f t="shared" si="12"/>
        <v>8122.930737</v>
      </c>
      <c r="Q73" s="27">
        <v>7871.0527113274375</v>
      </c>
      <c r="R73" s="29">
        <f t="shared" si="13"/>
        <v>-124.9472887</v>
      </c>
      <c r="S73" s="30">
        <f t="shared" si="14"/>
        <v>8187.149718</v>
      </c>
      <c r="T73" s="27">
        <f t="shared" si="15"/>
        <v>8187.149718</v>
      </c>
      <c r="U73" s="29">
        <f t="shared" si="16"/>
        <v>316.0970068</v>
      </c>
      <c r="V73" s="27">
        <f t="shared" si="17"/>
        <v>8251.876408</v>
      </c>
      <c r="W73" s="27">
        <v>7748.057877000376</v>
      </c>
      <c r="X73" s="27">
        <f t="shared" si="18"/>
        <v>-439.0918412</v>
      </c>
      <c r="Y73" s="31">
        <f t="shared" si="19"/>
        <v>-0.002130056018</v>
      </c>
      <c r="Z73" s="32">
        <f t="shared" si="20"/>
        <v>0.007905888088</v>
      </c>
      <c r="AA73" s="32">
        <f t="shared" si="21"/>
        <v>57.51533584</v>
      </c>
      <c r="AB73" s="27">
        <f t="shared" si="22"/>
        <v>8122.467241</v>
      </c>
      <c r="AC73" s="27">
        <f t="shared" si="23"/>
        <v>8185.755203</v>
      </c>
      <c r="AD73" s="27">
        <f t="shared" si="24"/>
        <v>8249.079289</v>
      </c>
      <c r="AE73" s="29">
        <f t="shared" si="25"/>
        <v>7642.386547</v>
      </c>
    </row>
    <row r="74" ht="15.75" customHeight="1">
      <c r="A74" s="33">
        <v>2.611606084E9</v>
      </c>
      <c r="B74" s="34" t="s">
        <v>111</v>
      </c>
      <c r="C74" s="34">
        <v>9835.0</v>
      </c>
      <c r="D74" s="34">
        <v>8838.0</v>
      </c>
      <c r="E74" s="24">
        <f t="shared" si="1"/>
        <v>997</v>
      </c>
      <c r="F74" s="25">
        <f t="shared" si="2"/>
        <v>0.1128083277</v>
      </c>
      <c r="G74" s="26">
        <f t="shared" si="3"/>
        <v>0.005785883048</v>
      </c>
      <c r="H74" s="27">
        <f t="shared" si="4"/>
        <v>9186.287016</v>
      </c>
      <c r="I74" s="27">
        <f t="shared" si="5"/>
        <v>9190.157772</v>
      </c>
      <c r="J74" s="28">
        <f t="shared" si="6"/>
        <v>0.00660545899</v>
      </c>
      <c r="K74" s="27">
        <f t="shared" si="7"/>
        <v>10487.53348</v>
      </c>
      <c r="L74" s="27">
        <f t="shared" si="8"/>
        <v>10491.95253</v>
      </c>
      <c r="M74" s="27">
        <f t="shared" si="9"/>
        <v>652.5334773</v>
      </c>
      <c r="N74" s="29">
        <f t="shared" si="10"/>
        <v>4.419052065</v>
      </c>
      <c r="O74" s="6">
        <f t="shared" si="11"/>
        <v>0.008947024575</v>
      </c>
      <c r="P74" s="30">
        <f t="shared" si="12"/>
        <v>10011.77526</v>
      </c>
      <c r="Q74" s="27">
        <v>9661.346016040678</v>
      </c>
      <c r="R74" s="29">
        <f t="shared" si="13"/>
        <v>-173.653984</v>
      </c>
      <c r="S74" s="30">
        <f t="shared" si="14"/>
        <v>10101.35086</v>
      </c>
      <c r="T74" s="27">
        <f t="shared" si="15"/>
        <v>10101.35086</v>
      </c>
      <c r="U74" s="29">
        <f t="shared" si="16"/>
        <v>440.004841</v>
      </c>
      <c r="V74" s="27">
        <f t="shared" si="17"/>
        <v>10191.72789</v>
      </c>
      <c r="W74" s="27">
        <v>9490.758194373671</v>
      </c>
      <c r="X74" s="27">
        <f t="shared" si="18"/>
        <v>-610.5926627</v>
      </c>
      <c r="Y74" s="31">
        <f t="shared" si="19"/>
        <v>-0.002130056018</v>
      </c>
      <c r="Z74" s="32">
        <f t="shared" si="20"/>
        <v>0.008947024575</v>
      </c>
      <c r="AA74" s="32">
        <f t="shared" si="21"/>
        <v>79.0738032</v>
      </c>
      <c r="AB74" s="27">
        <f t="shared" si="22"/>
        <v>10011.0326</v>
      </c>
      <c r="AC74" s="27">
        <f t="shared" si="23"/>
        <v>10099.11573</v>
      </c>
      <c r="AD74" s="27">
        <f t="shared" si="24"/>
        <v>10187.2433</v>
      </c>
      <c r="AE74" s="29">
        <f t="shared" si="25"/>
        <v>9428.73862</v>
      </c>
    </row>
    <row r="75" ht="15.75" customHeight="1">
      <c r="A75" s="33">
        <v>2.611606048E9</v>
      </c>
      <c r="B75" s="34" t="s">
        <v>112</v>
      </c>
      <c r="C75" s="34">
        <v>32450.0</v>
      </c>
      <c r="D75" s="34">
        <v>29044.0</v>
      </c>
      <c r="E75" s="24">
        <f t="shared" si="1"/>
        <v>3406</v>
      </c>
      <c r="F75" s="25">
        <f t="shared" si="2"/>
        <v>0.1172703484</v>
      </c>
      <c r="G75" s="26">
        <f t="shared" si="3"/>
        <v>0.01901393836</v>
      </c>
      <c r="H75" s="27">
        <f t="shared" si="4"/>
        <v>30188.56303</v>
      </c>
      <c r="I75" s="27">
        <f t="shared" si="5"/>
        <v>30201.28336</v>
      </c>
      <c r="J75" s="28">
        <f t="shared" si="6"/>
        <v>0.02179432072</v>
      </c>
      <c r="K75" s="27">
        <f t="shared" si="7"/>
        <v>34602.99556</v>
      </c>
      <c r="L75" s="27">
        <f t="shared" si="8"/>
        <v>34617.57596</v>
      </c>
      <c r="M75" s="27">
        <f t="shared" si="9"/>
        <v>2152.995561</v>
      </c>
      <c r="N75" s="29">
        <f t="shared" si="10"/>
        <v>14.58040056</v>
      </c>
      <c r="O75" s="6">
        <f t="shared" si="11"/>
        <v>0.009283537314</v>
      </c>
      <c r="P75" s="30">
        <f t="shared" si="12"/>
        <v>33055.29824</v>
      </c>
      <c r="Q75" s="27">
        <v>31855.78578683988</v>
      </c>
      <c r="R75" s="29">
        <f t="shared" si="13"/>
        <v>-594.2142132</v>
      </c>
      <c r="S75" s="30">
        <f t="shared" si="14"/>
        <v>33362.16834</v>
      </c>
      <c r="T75" s="27">
        <f t="shared" si="15"/>
        <v>33362.16834</v>
      </c>
      <c r="U75" s="29">
        <f t="shared" si="16"/>
        <v>1506.382552</v>
      </c>
      <c r="V75" s="27">
        <f t="shared" si="17"/>
        <v>33671.88727</v>
      </c>
      <c r="W75" s="27">
        <v>31272.45263781293</v>
      </c>
      <c r="X75" s="27">
        <f t="shared" si="18"/>
        <v>-2089.715701</v>
      </c>
      <c r="Y75" s="31">
        <f t="shared" si="19"/>
        <v>-0.002130056018</v>
      </c>
      <c r="Z75" s="32">
        <f t="shared" si="20"/>
        <v>0.009283537314</v>
      </c>
      <c r="AA75" s="32">
        <f t="shared" si="21"/>
        <v>269.6310578</v>
      </c>
      <c r="AB75" s="27">
        <f t="shared" si="22"/>
        <v>33052.6488</v>
      </c>
      <c r="AC75" s="27">
        <f t="shared" si="23"/>
        <v>33354.19373</v>
      </c>
      <c r="AD75" s="27">
        <f t="shared" si="24"/>
        <v>33655.88527</v>
      </c>
      <c r="AE75" s="29">
        <f t="shared" si="25"/>
        <v>31140.14959</v>
      </c>
    </row>
    <row r="76" ht="15.75" customHeight="1">
      <c r="A76" s="33">
        <v>2.611606062E9</v>
      </c>
      <c r="B76" s="34" t="s">
        <v>113</v>
      </c>
      <c r="C76" s="34">
        <v>25832.0</v>
      </c>
      <c r="D76" s="34">
        <v>22838.0</v>
      </c>
      <c r="E76" s="24">
        <f t="shared" si="1"/>
        <v>2994</v>
      </c>
      <c r="F76" s="25">
        <f t="shared" si="2"/>
        <v>0.131097294</v>
      </c>
      <c r="G76" s="26">
        <f t="shared" si="3"/>
        <v>0.01495111983</v>
      </c>
      <c r="H76" s="27">
        <f t="shared" si="4"/>
        <v>23737.99761</v>
      </c>
      <c r="I76" s="27">
        <f t="shared" si="5"/>
        <v>23747.99991</v>
      </c>
      <c r="J76" s="28">
        <f t="shared" si="6"/>
        <v>0.01734948822</v>
      </c>
      <c r="K76" s="27">
        <f t="shared" si="7"/>
        <v>27545.90389</v>
      </c>
      <c r="L76" s="27">
        <f t="shared" si="8"/>
        <v>27557.5107</v>
      </c>
      <c r="M76" s="27">
        <f t="shared" si="9"/>
        <v>1713.903893</v>
      </c>
      <c r="N76" s="29">
        <f t="shared" si="10"/>
        <v>11.60680762</v>
      </c>
      <c r="O76" s="6">
        <f t="shared" si="11"/>
        <v>0.01031855776</v>
      </c>
      <c r="P76" s="30">
        <f t="shared" si="12"/>
        <v>26367.84837</v>
      </c>
      <c r="Q76" s="27">
        <v>25307.041160687768</v>
      </c>
      <c r="R76" s="29">
        <f t="shared" si="13"/>
        <v>-524.9588393</v>
      </c>
      <c r="S76" s="30">
        <f t="shared" si="14"/>
        <v>26639.92654</v>
      </c>
      <c r="T76" s="27">
        <f t="shared" si="15"/>
        <v>26639.92654</v>
      </c>
      <c r="U76" s="29">
        <f t="shared" si="16"/>
        <v>1332.885375</v>
      </c>
      <c r="V76" s="27">
        <f t="shared" si="17"/>
        <v>26914.81216</v>
      </c>
      <c r="W76" s="27">
        <v>24792.750553915484</v>
      </c>
      <c r="X76" s="27">
        <f t="shared" si="18"/>
        <v>-1847.175982</v>
      </c>
      <c r="Y76" s="31">
        <f t="shared" si="19"/>
        <v>-0.002130056018</v>
      </c>
      <c r="Z76" s="32">
        <f t="shared" si="20"/>
        <v>0.01031855776</v>
      </c>
      <c r="AA76" s="32">
        <f t="shared" si="21"/>
        <v>235.6552222</v>
      </c>
      <c r="AB76" s="27">
        <f t="shared" si="22"/>
        <v>26365.21517</v>
      </c>
      <c r="AC76" s="27">
        <f t="shared" si="23"/>
        <v>26631.99831</v>
      </c>
      <c r="AD76" s="27">
        <f t="shared" si="24"/>
        <v>26898.89816</v>
      </c>
      <c r="AE76" s="29">
        <f t="shared" si="25"/>
        <v>24864.17204</v>
      </c>
    </row>
    <row r="77" ht="15.75" customHeight="1">
      <c r="A77" s="33">
        <v>2.611606058E9</v>
      </c>
      <c r="B77" s="34" t="s">
        <v>114</v>
      </c>
      <c r="C77" s="34">
        <v>6738.0</v>
      </c>
      <c r="D77" s="34">
        <v>5913.0</v>
      </c>
      <c r="E77" s="24">
        <f t="shared" si="1"/>
        <v>825</v>
      </c>
      <c r="F77" s="25">
        <f t="shared" si="2"/>
        <v>0.1395230847</v>
      </c>
      <c r="G77" s="26">
        <f t="shared" si="3"/>
        <v>0.00387100322</v>
      </c>
      <c r="H77" s="27">
        <f t="shared" si="4"/>
        <v>6146.01891</v>
      </c>
      <c r="I77" s="27">
        <f t="shared" si="5"/>
        <v>6148.608611</v>
      </c>
      <c r="J77" s="28">
        <f t="shared" si="6"/>
        <v>0.004525427827</v>
      </c>
      <c r="K77" s="27">
        <f t="shared" si="7"/>
        <v>7185.053439</v>
      </c>
      <c r="L77" s="27">
        <f t="shared" si="8"/>
        <v>7188.08095</v>
      </c>
      <c r="M77" s="27">
        <f t="shared" si="9"/>
        <v>447.0534387</v>
      </c>
      <c r="N77" s="29">
        <f t="shared" si="10"/>
        <v>3.027511216</v>
      </c>
      <c r="O77" s="6">
        <f t="shared" si="11"/>
        <v>0.01094360022</v>
      </c>
      <c r="P77" s="30">
        <f t="shared" si="12"/>
        <v>6886.282915</v>
      </c>
      <c r="Q77" s="27">
        <v>6592.910073163034</v>
      </c>
      <c r="R77" s="29">
        <f t="shared" si="13"/>
        <v>-145.0899268</v>
      </c>
      <c r="S77" s="30">
        <f t="shared" si="14"/>
        <v>6961.643643</v>
      </c>
      <c r="T77" s="27">
        <f t="shared" si="15"/>
        <v>6961.643643</v>
      </c>
      <c r="U77" s="29">
        <f t="shared" si="16"/>
        <v>368.7335695</v>
      </c>
      <c r="V77" s="27">
        <f t="shared" si="17"/>
        <v>7037.829088</v>
      </c>
      <c r="W77" s="27">
        <v>6450.9443800555955</v>
      </c>
      <c r="X77" s="27">
        <f t="shared" si="18"/>
        <v>-510.6992626</v>
      </c>
      <c r="Y77" s="31">
        <f t="shared" si="19"/>
        <v>-0.002130056018</v>
      </c>
      <c r="Z77" s="32">
        <f t="shared" si="20"/>
        <v>0.01094360022</v>
      </c>
      <c r="AA77" s="32">
        <f t="shared" si="21"/>
        <v>64.70950808</v>
      </c>
      <c r="AB77" s="27">
        <f t="shared" si="22"/>
        <v>6885.506528</v>
      </c>
      <c r="AC77" s="27">
        <f t="shared" si="23"/>
        <v>6959.305583</v>
      </c>
      <c r="AD77" s="27">
        <f t="shared" si="24"/>
        <v>7033.13508</v>
      </c>
      <c r="AE77" s="29">
        <f t="shared" si="25"/>
        <v>6497.348388</v>
      </c>
    </row>
    <row r="78" ht="15.75" customHeight="1">
      <c r="A78" s="33">
        <v>2.611606059E9</v>
      </c>
      <c r="B78" s="34" t="s">
        <v>115</v>
      </c>
      <c r="C78" s="34">
        <v>20872.0</v>
      </c>
      <c r="D78" s="34">
        <v>17865.0</v>
      </c>
      <c r="E78" s="24">
        <f t="shared" si="1"/>
        <v>3007</v>
      </c>
      <c r="F78" s="25">
        <f t="shared" si="2"/>
        <v>0.1683179401</v>
      </c>
      <c r="G78" s="26">
        <f t="shared" si="3"/>
        <v>0.01169549679</v>
      </c>
      <c r="H78" s="27">
        <f t="shared" si="4"/>
        <v>18569.02212</v>
      </c>
      <c r="I78" s="27">
        <f t="shared" si="5"/>
        <v>18576.84641</v>
      </c>
      <c r="J78" s="28">
        <f t="shared" si="6"/>
        <v>0.01401821454</v>
      </c>
      <c r="K78" s="27">
        <f t="shared" si="7"/>
        <v>22256.81736</v>
      </c>
      <c r="L78" s="27">
        <f t="shared" si="8"/>
        <v>22266.19555</v>
      </c>
      <c r="M78" s="27">
        <f t="shared" si="9"/>
        <v>1384.81736</v>
      </c>
      <c r="N78" s="29">
        <f t="shared" si="10"/>
        <v>9.37818553</v>
      </c>
      <c r="O78" s="6">
        <f t="shared" si="11"/>
        <v>0.01304814846</v>
      </c>
      <c r="P78" s="30">
        <f t="shared" si="12"/>
        <v>21420.23545</v>
      </c>
      <c r="Q78" s="27">
        <v>20337.79623606931</v>
      </c>
      <c r="R78" s="29">
        <f t="shared" si="13"/>
        <v>-534.2037639</v>
      </c>
      <c r="S78" s="30">
        <f t="shared" si="14"/>
        <v>21699.72987</v>
      </c>
      <c r="T78" s="27">
        <f t="shared" si="15"/>
        <v>21699.72987</v>
      </c>
      <c r="U78" s="29">
        <f t="shared" si="16"/>
        <v>1361.933631</v>
      </c>
      <c r="V78" s="27">
        <f t="shared" si="17"/>
        <v>21982.87116</v>
      </c>
      <c r="W78" s="27">
        <v>19817.265031615316</v>
      </c>
      <c r="X78" s="27">
        <f t="shared" si="18"/>
        <v>-1882.464835</v>
      </c>
      <c r="Y78" s="31">
        <f t="shared" si="19"/>
        <v>-0.002130056018</v>
      </c>
      <c r="Z78" s="32">
        <f t="shared" si="20"/>
        <v>0.01304814846</v>
      </c>
      <c r="AA78" s="32">
        <f t="shared" si="21"/>
        <v>233.1051722</v>
      </c>
      <c r="AB78" s="27">
        <f t="shared" si="22"/>
        <v>21416.77661</v>
      </c>
      <c r="AC78" s="27">
        <f t="shared" si="23"/>
        <v>21689.30676</v>
      </c>
      <c r="AD78" s="27">
        <f t="shared" si="24"/>
        <v>21961.93121</v>
      </c>
      <c r="AE78" s="29">
        <f t="shared" si="25"/>
        <v>20249.57528</v>
      </c>
    </row>
    <row r="79" ht="15.75" customHeight="1">
      <c r="A79" s="33">
        <v>2.611606006E9</v>
      </c>
      <c r="B79" s="34" t="s">
        <v>116</v>
      </c>
      <c r="C79" s="34">
        <v>568.0</v>
      </c>
      <c r="D79" s="34">
        <v>486.0</v>
      </c>
      <c r="E79" s="24">
        <f t="shared" si="1"/>
        <v>82</v>
      </c>
      <c r="F79" s="25">
        <f t="shared" si="2"/>
        <v>0.1687242798</v>
      </c>
      <c r="G79" s="26">
        <f t="shared" si="3"/>
        <v>0.0003181646482</v>
      </c>
      <c r="H79" s="27">
        <f t="shared" si="4"/>
        <v>505.1522392</v>
      </c>
      <c r="I79" s="27">
        <f t="shared" si="5"/>
        <v>505.3650913</v>
      </c>
      <c r="J79" s="28">
        <f t="shared" si="6"/>
        <v>0.000381484566</v>
      </c>
      <c r="K79" s="27">
        <f t="shared" si="7"/>
        <v>605.6857158</v>
      </c>
      <c r="L79" s="27">
        <f t="shared" si="8"/>
        <v>605.940929</v>
      </c>
      <c r="M79" s="27">
        <f t="shared" si="9"/>
        <v>37.68571582</v>
      </c>
      <c r="N79" s="29">
        <f t="shared" si="10"/>
        <v>0.2552131747</v>
      </c>
      <c r="O79" s="6">
        <f t="shared" si="11"/>
        <v>0.0130775052</v>
      </c>
      <c r="P79" s="30">
        <f t="shared" si="12"/>
        <v>582.9531859</v>
      </c>
      <c r="Q79" s="27">
        <v>553.4303745051595</v>
      </c>
      <c r="R79" s="29">
        <f t="shared" si="13"/>
        <v>-14.56962549</v>
      </c>
      <c r="S79" s="30">
        <f t="shared" si="14"/>
        <v>590.5767592</v>
      </c>
      <c r="T79" s="27">
        <f t="shared" si="15"/>
        <v>590.5767592</v>
      </c>
      <c r="U79" s="29">
        <f t="shared" si="16"/>
        <v>37.14638473</v>
      </c>
      <c r="V79" s="27">
        <f t="shared" si="17"/>
        <v>598.3000299</v>
      </c>
      <c r="W79" s="27">
        <v>539.234470818523</v>
      </c>
      <c r="X79" s="27">
        <f t="shared" si="18"/>
        <v>-51.34228842</v>
      </c>
      <c r="Y79" s="31">
        <f t="shared" si="19"/>
        <v>-0.002130056018</v>
      </c>
      <c r="Z79" s="32">
        <f t="shared" si="20"/>
        <v>0.0130775052</v>
      </c>
      <c r="AA79" s="32">
        <f t="shared" si="21"/>
        <v>6.355667527</v>
      </c>
      <c r="AB79" s="27">
        <f t="shared" si="22"/>
        <v>582.858623</v>
      </c>
      <c r="AC79" s="27">
        <f t="shared" si="23"/>
        <v>590.2917947</v>
      </c>
      <c r="AD79" s="27">
        <f t="shared" si="24"/>
        <v>597.7275324</v>
      </c>
      <c r="AE79" s="29">
        <f t="shared" si="25"/>
        <v>551.1083533</v>
      </c>
    </row>
    <row r="80" ht="15.75" customHeight="1">
      <c r="A80" s="33">
        <v>2.611606076E9</v>
      </c>
      <c r="B80" s="34" t="s">
        <v>117</v>
      </c>
      <c r="C80" s="34">
        <v>12051.0</v>
      </c>
      <c r="D80" s="34">
        <v>10236.0</v>
      </c>
      <c r="E80" s="24">
        <f t="shared" si="1"/>
        <v>1815</v>
      </c>
      <c r="F80" s="25">
        <f t="shared" si="2"/>
        <v>0.1773153576</v>
      </c>
      <c r="G80" s="26">
        <f t="shared" si="3"/>
        <v>0.006701097406</v>
      </c>
      <c r="H80" s="27">
        <f t="shared" si="4"/>
        <v>10639.37926</v>
      </c>
      <c r="I80" s="27">
        <f t="shared" si="5"/>
        <v>10643.86229</v>
      </c>
      <c r="J80" s="28">
        <f t="shared" si="6"/>
        <v>0.0080937861</v>
      </c>
      <c r="K80" s="27">
        <f t="shared" si="7"/>
        <v>12850.56085</v>
      </c>
      <c r="L80" s="27">
        <f t="shared" si="8"/>
        <v>12855.97559</v>
      </c>
      <c r="M80" s="27">
        <f t="shared" si="9"/>
        <v>799.5608475</v>
      </c>
      <c r="N80" s="29">
        <f t="shared" si="10"/>
        <v>5.414742901</v>
      </c>
      <c r="O80" s="6">
        <f t="shared" si="11"/>
        <v>0.01369600306</v>
      </c>
      <c r="P80" s="30">
        <f t="shared" si="12"/>
        <v>12383.3616</v>
      </c>
      <c r="Q80" s="27">
        <v>11727.558776815502</v>
      </c>
      <c r="R80" s="29">
        <f t="shared" si="13"/>
        <v>-323.4412232</v>
      </c>
      <c r="S80" s="30">
        <f t="shared" si="14"/>
        <v>12552.96416</v>
      </c>
      <c r="T80" s="27">
        <f t="shared" si="15"/>
        <v>12552.96416</v>
      </c>
      <c r="U80" s="29">
        <f t="shared" si="16"/>
        <v>825.40538</v>
      </c>
      <c r="V80" s="27">
        <f t="shared" si="17"/>
        <v>12724.88959</v>
      </c>
      <c r="W80" s="27">
        <v>11412.798511630763</v>
      </c>
      <c r="X80" s="27">
        <f t="shared" si="18"/>
        <v>-1140.165645</v>
      </c>
      <c r="Y80" s="31">
        <f t="shared" si="19"/>
        <v>-0.002130056018</v>
      </c>
      <c r="Z80" s="32">
        <f t="shared" si="20"/>
        <v>0.01369600306</v>
      </c>
      <c r="AA80" s="32">
        <f t="shared" si="21"/>
        <v>140.1922873</v>
      </c>
      <c r="AB80" s="27">
        <f t="shared" si="22"/>
        <v>12381.15574</v>
      </c>
      <c r="AC80" s="27">
        <f t="shared" si="23"/>
        <v>12546.31551</v>
      </c>
      <c r="AD80" s="27">
        <f t="shared" si="24"/>
        <v>12711.52973</v>
      </c>
      <c r="AE80" s="29">
        <f t="shared" si="25"/>
        <v>11713.49381</v>
      </c>
    </row>
    <row r="81" ht="15.75" customHeight="1">
      <c r="A81" s="33">
        <v>2.61160604E9</v>
      </c>
      <c r="B81" s="34" t="s">
        <v>118</v>
      </c>
      <c r="C81" s="34">
        <v>3026.0</v>
      </c>
      <c r="D81" s="34">
        <v>2560.0</v>
      </c>
      <c r="E81" s="24">
        <f t="shared" si="1"/>
        <v>466</v>
      </c>
      <c r="F81" s="25">
        <f t="shared" si="2"/>
        <v>0.18203125</v>
      </c>
      <c r="G81" s="26">
        <f t="shared" si="3"/>
        <v>0.001675929011</v>
      </c>
      <c r="H81" s="27">
        <f t="shared" si="4"/>
        <v>2660.884223</v>
      </c>
      <c r="I81" s="27">
        <f t="shared" si="5"/>
        <v>2662.005419</v>
      </c>
      <c r="J81" s="28">
        <f t="shared" si="6"/>
        <v>0.002032345593</v>
      </c>
      <c r="K81" s="27">
        <f t="shared" si="7"/>
        <v>3226.769324</v>
      </c>
      <c r="L81" s="27">
        <f t="shared" si="8"/>
        <v>3228.128963</v>
      </c>
      <c r="M81" s="27">
        <f t="shared" si="9"/>
        <v>200.7693241</v>
      </c>
      <c r="N81" s="29">
        <f t="shared" si="10"/>
        <v>1.359639202</v>
      </c>
      <c r="O81" s="6">
        <f t="shared" si="11"/>
        <v>0.01403375788</v>
      </c>
      <c r="P81" s="30">
        <f t="shared" si="12"/>
        <v>3111.528262</v>
      </c>
      <c r="Q81" s="27">
        <v>2942.8226993098474</v>
      </c>
      <c r="R81" s="29">
        <f t="shared" si="13"/>
        <v>-83.17730069</v>
      </c>
      <c r="S81" s="30">
        <f t="shared" si="14"/>
        <v>3155.194697</v>
      </c>
      <c r="T81" s="27">
        <f t="shared" si="15"/>
        <v>3155.194697</v>
      </c>
      <c r="U81" s="29">
        <f t="shared" si="16"/>
        <v>212.3719973</v>
      </c>
      <c r="V81" s="27">
        <f t="shared" si="17"/>
        <v>3199.473935</v>
      </c>
      <c r="W81" s="27">
        <v>2861.931738127329</v>
      </c>
      <c r="X81" s="27">
        <f t="shared" si="18"/>
        <v>-293.2629585</v>
      </c>
      <c r="Y81" s="31">
        <f t="shared" si="19"/>
        <v>-0.002130056018</v>
      </c>
      <c r="Z81" s="32">
        <f t="shared" si="20"/>
        <v>0.01403375788</v>
      </c>
      <c r="AA81" s="32">
        <f t="shared" si="21"/>
        <v>35.92642016</v>
      </c>
      <c r="AB81" s="27">
        <f t="shared" si="22"/>
        <v>3110.946032</v>
      </c>
      <c r="AC81" s="27">
        <f t="shared" si="23"/>
        <v>3153.439613</v>
      </c>
      <c r="AD81" s="27">
        <f t="shared" si="24"/>
        <v>3195.946865</v>
      </c>
      <c r="AE81" s="29">
        <f t="shared" si="25"/>
        <v>2944.114975</v>
      </c>
    </row>
    <row r="82" ht="15.75" customHeight="1">
      <c r="A82" s="33">
        <v>2.61160601E9</v>
      </c>
      <c r="B82" s="34" t="s">
        <v>119</v>
      </c>
      <c r="C82" s="34">
        <v>1831.0</v>
      </c>
      <c r="D82" s="34">
        <v>1546.0</v>
      </c>
      <c r="E82" s="24">
        <f t="shared" si="1"/>
        <v>285</v>
      </c>
      <c r="F82" s="25">
        <f t="shared" si="2"/>
        <v>0.1843467012</v>
      </c>
      <c r="G82" s="26">
        <f t="shared" si="3"/>
        <v>0.001012104004</v>
      </c>
      <c r="H82" s="27">
        <f t="shared" si="4"/>
        <v>1606.924613</v>
      </c>
      <c r="I82" s="27">
        <f t="shared" si="5"/>
        <v>1607.60171</v>
      </c>
      <c r="J82" s="28">
        <f t="shared" si="6"/>
        <v>0.001229750423</v>
      </c>
      <c r="K82" s="27">
        <f t="shared" si="7"/>
        <v>1952.483355</v>
      </c>
      <c r="L82" s="27">
        <f t="shared" si="8"/>
        <v>1953.306058</v>
      </c>
      <c r="M82" s="27">
        <f t="shared" si="9"/>
        <v>121.483355</v>
      </c>
      <c r="N82" s="29">
        <f t="shared" si="10"/>
        <v>0.8227030331</v>
      </c>
      <c r="O82" s="6">
        <f t="shared" si="11"/>
        <v>0.01419913987</v>
      </c>
      <c r="P82" s="30">
        <f t="shared" si="12"/>
        <v>1883.366408</v>
      </c>
      <c r="Q82" s="27">
        <v>1780.0896231211198</v>
      </c>
      <c r="R82" s="29">
        <f t="shared" si="13"/>
        <v>-50.91037688</v>
      </c>
      <c r="S82" s="30">
        <f t="shared" si="14"/>
        <v>1910.108591</v>
      </c>
      <c r="T82" s="27">
        <f t="shared" si="15"/>
        <v>1910.108591</v>
      </c>
      <c r="U82" s="29">
        <f t="shared" si="16"/>
        <v>130.0189683</v>
      </c>
      <c r="V82" s="27">
        <f t="shared" si="17"/>
        <v>1937.23049</v>
      </c>
      <c r="W82" s="27">
        <v>1730.5947931968817</v>
      </c>
      <c r="X82" s="27">
        <f t="shared" si="18"/>
        <v>-179.5137982</v>
      </c>
      <c r="Y82" s="31">
        <f t="shared" si="19"/>
        <v>-0.002130056018</v>
      </c>
      <c r="Z82" s="32">
        <f t="shared" si="20"/>
        <v>0.01419913987</v>
      </c>
      <c r="AA82" s="32">
        <f t="shared" si="21"/>
        <v>21.95187024</v>
      </c>
      <c r="AB82" s="27">
        <f t="shared" si="22"/>
        <v>1883.005558</v>
      </c>
      <c r="AC82" s="27">
        <f t="shared" si="23"/>
        <v>1909.02078</v>
      </c>
      <c r="AD82" s="27">
        <f t="shared" si="24"/>
        <v>1935.044275</v>
      </c>
      <c r="AE82" s="29">
        <f t="shared" si="25"/>
        <v>1782.300395</v>
      </c>
    </row>
    <row r="83" ht="15.75" customHeight="1">
      <c r="A83" s="33">
        <v>2.611606027E9</v>
      </c>
      <c r="B83" s="34" t="s">
        <v>120</v>
      </c>
      <c r="C83" s="34">
        <v>24306.0</v>
      </c>
      <c r="D83" s="34">
        <v>20292.0</v>
      </c>
      <c r="E83" s="24">
        <f t="shared" si="1"/>
        <v>4014</v>
      </c>
      <c r="F83" s="25">
        <f t="shared" si="2"/>
        <v>0.1978119456</v>
      </c>
      <c r="G83" s="26">
        <f t="shared" si="3"/>
        <v>0.01328435605</v>
      </c>
      <c r="H83" s="27">
        <f t="shared" si="4"/>
        <v>21091.6651</v>
      </c>
      <c r="I83" s="27">
        <f t="shared" si="5"/>
        <v>21100.55233</v>
      </c>
      <c r="J83" s="28">
        <f t="shared" si="6"/>
        <v>0.01632458426</v>
      </c>
      <c r="K83" s="27">
        <f t="shared" si="7"/>
        <v>25918.65671</v>
      </c>
      <c r="L83" s="27">
        <f t="shared" si="8"/>
        <v>25929.57785</v>
      </c>
      <c r="M83" s="27">
        <f t="shared" si="9"/>
        <v>1612.656706</v>
      </c>
      <c r="N83" s="29">
        <f t="shared" si="10"/>
        <v>10.92114687</v>
      </c>
      <c r="O83" s="6">
        <f t="shared" si="11"/>
        <v>0.01515506695</v>
      </c>
      <c r="P83" s="30">
        <f t="shared" si="12"/>
        <v>25048.30062</v>
      </c>
      <c r="Q83" s="27">
        <v>23585.697287192943</v>
      </c>
      <c r="R83" s="29">
        <f t="shared" si="13"/>
        <v>-720.3027128</v>
      </c>
      <c r="S83" s="30">
        <f t="shared" si="14"/>
        <v>25427.90929</v>
      </c>
      <c r="T83" s="27">
        <f t="shared" si="15"/>
        <v>25427.90929</v>
      </c>
      <c r="U83" s="29">
        <f t="shared" si="16"/>
        <v>1842.212006</v>
      </c>
      <c r="V83" s="27">
        <f t="shared" si="17"/>
        <v>25813.27096</v>
      </c>
      <c r="W83" s="27">
        <v>22886.740579408397</v>
      </c>
      <c r="X83" s="27">
        <f t="shared" si="18"/>
        <v>-2541.168714</v>
      </c>
      <c r="Y83" s="31">
        <f t="shared" si="19"/>
        <v>-0.002130056018</v>
      </c>
      <c r="Z83" s="32">
        <f t="shared" si="20"/>
        <v>0.01515506695</v>
      </c>
      <c r="AA83" s="32">
        <f t="shared" si="21"/>
        <v>307.5266186</v>
      </c>
      <c r="AB83" s="27">
        <f t="shared" si="22"/>
        <v>25042.82839</v>
      </c>
      <c r="AC83" s="27">
        <f t="shared" si="23"/>
        <v>25411.40778</v>
      </c>
      <c r="AD83" s="27">
        <f t="shared" si="24"/>
        <v>25780.09697</v>
      </c>
      <c r="AE83" s="29">
        <f t="shared" si="25"/>
        <v>23724.60404</v>
      </c>
    </row>
    <row r="84" ht="15.75" customHeight="1">
      <c r="A84" s="33">
        <v>2.611606057E9</v>
      </c>
      <c r="B84" s="34" t="s">
        <v>121</v>
      </c>
      <c r="C84" s="34">
        <v>5542.0</v>
      </c>
      <c r="D84" s="34">
        <v>4614.0</v>
      </c>
      <c r="E84" s="24">
        <f t="shared" si="1"/>
        <v>928</v>
      </c>
      <c r="F84" s="25">
        <f t="shared" si="2"/>
        <v>0.2011270048</v>
      </c>
      <c r="G84" s="26">
        <f t="shared" si="3"/>
        <v>0.003020600179</v>
      </c>
      <c r="H84" s="27">
        <f t="shared" si="4"/>
        <v>4795.828048</v>
      </c>
      <c r="I84" s="27">
        <f t="shared" si="5"/>
        <v>4797.84883</v>
      </c>
      <c r="J84" s="28">
        <f t="shared" si="6"/>
        <v>0.003722161029</v>
      </c>
      <c r="K84" s="27">
        <f t="shared" si="7"/>
        <v>5909.701122</v>
      </c>
      <c r="L84" s="27">
        <f t="shared" si="8"/>
        <v>5912.191247</v>
      </c>
      <c r="M84" s="27">
        <f t="shared" si="9"/>
        <v>367.7011216</v>
      </c>
      <c r="N84" s="29">
        <f t="shared" si="10"/>
        <v>2.490125729</v>
      </c>
      <c r="O84" s="6">
        <f t="shared" si="11"/>
        <v>0.01538889872</v>
      </c>
      <c r="P84" s="30">
        <f t="shared" si="12"/>
        <v>5713.883</v>
      </c>
      <c r="Q84" s="27">
        <v>5375.287523492954</v>
      </c>
      <c r="R84" s="29">
        <f t="shared" si="13"/>
        <v>-166.7124765</v>
      </c>
      <c r="S84" s="30">
        <f t="shared" si="14"/>
        <v>5801.813367</v>
      </c>
      <c r="T84" s="27">
        <f t="shared" si="15"/>
        <v>5801.813367</v>
      </c>
      <c r="U84" s="29">
        <f t="shared" si="16"/>
        <v>426.5258432</v>
      </c>
      <c r="V84" s="27">
        <f t="shared" si="17"/>
        <v>5891.096885</v>
      </c>
      <c r="W84" s="27">
        <v>5213.590032518769</v>
      </c>
      <c r="X84" s="27">
        <f t="shared" si="18"/>
        <v>-588.2233341</v>
      </c>
      <c r="Y84" s="31">
        <f t="shared" si="19"/>
        <v>-0.002130056018</v>
      </c>
      <c r="Z84" s="32">
        <f t="shared" si="20"/>
        <v>0.01538889872</v>
      </c>
      <c r="AA84" s="32">
        <f t="shared" si="21"/>
        <v>71.00437869</v>
      </c>
      <c r="AB84" s="27">
        <f t="shared" si="22"/>
        <v>5712.595698</v>
      </c>
      <c r="AC84" s="27">
        <f t="shared" si="23"/>
        <v>5797.931211</v>
      </c>
      <c r="AD84" s="27">
        <f t="shared" si="24"/>
        <v>5883.291762</v>
      </c>
      <c r="AE84" s="29">
        <f t="shared" si="25"/>
        <v>5413.065794</v>
      </c>
    </row>
    <row r="85" ht="15.75" customHeight="1">
      <c r="A85" s="33">
        <v>2.611606037E9</v>
      </c>
      <c r="B85" s="34" t="s">
        <v>122</v>
      </c>
      <c r="C85" s="34">
        <v>89.0</v>
      </c>
      <c r="D85" s="34">
        <v>72.0</v>
      </c>
      <c r="E85" s="24">
        <f t="shared" si="1"/>
        <v>17</v>
      </c>
      <c r="F85" s="25">
        <f t="shared" si="2"/>
        <v>0.2361111111</v>
      </c>
      <c r="G85" s="26">
        <f t="shared" si="3"/>
        <v>0.00004713550344</v>
      </c>
      <c r="H85" s="27">
        <f t="shared" si="4"/>
        <v>74.83736877</v>
      </c>
      <c r="I85" s="27">
        <f t="shared" si="5"/>
        <v>74.86890242</v>
      </c>
      <c r="J85" s="28">
        <f t="shared" si="6"/>
        <v>0.00005977487038</v>
      </c>
      <c r="K85" s="27">
        <f t="shared" si="7"/>
        <v>94.90498012</v>
      </c>
      <c r="L85" s="27">
        <f t="shared" si="8"/>
        <v>94.94496951</v>
      </c>
      <c r="M85" s="27">
        <f t="shared" si="9"/>
        <v>5.90498012</v>
      </c>
      <c r="N85" s="29">
        <f t="shared" si="10"/>
        <v>0.03998938828</v>
      </c>
      <c r="O85" s="6">
        <f t="shared" si="11"/>
        <v>0.017821122</v>
      </c>
      <c r="P85" s="30">
        <f t="shared" si="12"/>
        <v>92.20042544</v>
      </c>
      <c r="Q85" s="27">
        <v>85.91066648917179</v>
      </c>
      <c r="R85" s="29">
        <f t="shared" si="13"/>
        <v>-3.089333511</v>
      </c>
      <c r="S85" s="30">
        <f t="shared" si="14"/>
        <v>93.84354047</v>
      </c>
      <c r="T85" s="27">
        <f t="shared" si="15"/>
        <v>93.84354047</v>
      </c>
      <c r="U85" s="29">
        <f t="shared" si="16"/>
        <v>7.932873979</v>
      </c>
      <c r="V85" s="27">
        <f t="shared" si="17"/>
        <v>95.51593765</v>
      </c>
      <c r="W85" s="27">
        <v>82.92856872599667</v>
      </c>
      <c r="X85" s="27">
        <f t="shared" si="18"/>
        <v>-10.91497174</v>
      </c>
      <c r="Y85" s="31">
        <f t="shared" si="19"/>
        <v>-0.002130056018</v>
      </c>
      <c r="Z85" s="32">
        <f t="shared" si="20"/>
        <v>0.017821122</v>
      </c>
      <c r="AA85" s="32">
        <f t="shared" si="21"/>
        <v>1.283120784</v>
      </c>
      <c r="AB85" s="27">
        <f t="shared" si="22"/>
        <v>92.17256352</v>
      </c>
      <c r="AC85" s="27">
        <f t="shared" si="23"/>
        <v>93.75945013</v>
      </c>
      <c r="AD85" s="27">
        <f t="shared" si="24"/>
        <v>95.34673882</v>
      </c>
      <c r="AE85" s="29">
        <f t="shared" si="25"/>
        <v>87.53571816</v>
      </c>
    </row>
    <row r="86" ht="15.75" customHeight="1">
      <c r="A86" s="33">
        <v>2.611606025E9</v>
      </c>
      <c r="B86" s="34" t="s">
        <v>123</v>
      </c>
      <c r="C86" s="34">
        <v>15249.0</v>
      </c>
      <c r="D86" s="34">
        <v>11770.0</v>
      </c>
      <c r="E86" s="24">
        <f t="shared" si="1"/>
        <v>3479</v>
      </c>
      <c r="F86" s="25">
        <f t="shared" si="2"/>
        <v>0.2955819881</v>
      </c>
      <c r="G86" s="26">
        <f t="shared" si="3"/>
        <v>0.007705345493</v>
      </c>
      <c r="H86" s="27">
        <f t="shared" si="4"/>
        <v>12233.83098</v>
      </c>
      <c r="I86" s="27">
        <f t="shared" si="5"/>
        <v>12238.98585</v>
      </c>
      <c r="J86" s="28">
        <f t="shared" si="6"/>
        <v>0.01024165167</v>
      </c>
      <c r="K86" s="27">
        <f t="shared" si="7"/>
        <v>16260.74204</v>
      </c>
      <c r="L86" s="27">
        <f t="shared" si="8"/>
        <v>16267.59371</v>
      </c>
      <c r="M86" s="27">
        <f t="shared" si="9"/>
        <v>1011.742043</v>
      </c>
      <c r="N86" s="29">
        <f t="shared" si="10"/>
        <v>6.851664965</v>
      </c>
      <c r="O86" s="6">
        <f t="shared" si="11"/>
        <v>0.02181453273</v>
      </c>
      <c r="P86" s="30">
        <f t="shared" si="12"/>
        <v>15921.55622</v>
      </c>
      <c r="Q86" s="27">
        <v>14604.853809302525</v>
      </c>
      <c r="R86" s="29">
        <f t="shared" si="13"/>
        <v>-644.1461907</v>
      </c>
      <c r="S86" s="30">
        <f t="shared" si="14"/>
        <v>16268.87753</v>
      </c>
      <c r="T86" s="27">
        <f t="shared" si="15"/>
        <v>16268.87753</v>
      </c>
      <c r="U86" s="29">
        <f t="shared" si="16"/>
        <v>1664.023719</v>
      </c>
      <c r="V86" s="27">
        <f t="shared" si="17"/>
        <v>16623.77549</v>
      </c>
      <c r="W86" s="27">
        <v>13987.917554665779</v>
      </c>
      <c r="X86" s="27">
        <f t="shared" si="18"/>
        <v>-2280.959974</v>
      </c>
      <c r="Y86" s="31">
        <f t="shared" si="19"/>
        <v>-0.002130056018</v>
      </c>
      <c r="Z86" s="32">
        <f t="shared" si="20"/>
        <v>0.02181453273</v>
      </c>
      <c r="AA86" s="32">
        <f t="shared" si="21"/>
        <v>256.7570502</v>
      </c>
      <c r="AB86" s="27">
        <f t="shared" si="22"/>
        <v>15914.36881</v>
      </c>
      <c r="AC86" s="27">
        <f t="shared" si="23"/>
        <v>16247.15684</v>
      </c>
      <c r="AD86" s="27">
        <f t="shared" si="24"/>
        <v>16580.01377</v>
      </c>
      <c r="AE86" s="29">
        <f t="shared" si="25"/>
        <v>15168.67409</v>
      </c>
    </row>
    <row r="87" ht="15.75" customHeight="1">
      <c r="A87" s="33">
        <v>2.61160607E9</v>
      </c>
      <c r="B87" s="34" t="s">
        <v>124</v>
      </c>
      <c r="C87" s="34">
        <v>13813.0</v>
      </c>
      <c r="D87" s="34">
        <v>9622.0</v>
      </c>
      <c r="E87" s="24">
        <f t="shared" si="1"/>
        <v>4191</v>
      </c>
      <c r="F87" s="25">
        <f t="shared" si="2"/>
        <v>0.4355643317</v>
      </c>
      <c r="G87" s="26">
        <f t="shared" si="3"/>
        <v>0.006299136307</v>
      </c>
      <c r="H87" s="27">
        <f t="shared" si="4"/>
        <v>10001.18281</v>
      </c>
      <c r="I87" s="27">
        <f t="shared" si="5"/>
        <v>10005.39693</v>
      </c>
      <c r="J87" s="28">
        <f t="shared" si="6"/>
        <v>0.009277194208</v>
      </c>
      <c r="K87" s="27">
        <f t="shared" si="7"/>
        <v>14729.46618</v>
      </c>
      <c r="L87" s="27">
        <f t="shared" si="8"/>
        <v>14735.67263</v>
      </c>
      <c r="M87" s="27">
        <f t="shared" si="9"/>
        <v>916.4661842</v>
      </c>
      <c r="N87" s="29">
        <f t="shared" si="10"/>
        <v>6.206442925</v>
      </c>
      <c r="O87" s="6">
        <f t="shared" si="11"/>
        <v>0.03058833294</v>
      </c>
      <c r="P87" s="30">
        <f t="shared" si="12"/>
        <v>14670.95737</v>
      </c>
      <c r="Q87" s="27">
        <v>13005.215968161096</v>
      </c>
      <c r="R87" s="29">
        <f t="shared" si="13"/>
        <v>-807.7840318</v>
      </c>
      <c r="S87" s="30">
        <f t="shared" si="14"/>
        <v>15119.71749</v>
      </c>
      <c r="T87" s="27">
        <f t="shared" si="15"/>
        <v>15119.71749</v>
      </c>
      <c r="U87" s="29">
        <f t="shared" si="16"/>
        <v>2114.501526</v>
      </c>
      <c r="V87" s="27">
        <f t="shared" si="17"/>
        <v>15582.20445</v>
      </c>
      <c r="W87" s="27">
        <v>12244.67113433087</v>
      </c>
      <c r="X87" s="27">
        <f t="shared" si="18"/>
        <v>-2875.04636</v>
      </c>
      <c r="Y87" s="31">
        <f t="shared" si="19"/>
        <v>-0.002130056018</v>
      </c>
      <c r="Z87" s="32">
        <f t="shared" si="20"/>
        <v>0.03058833294</v>
      </c>
      <c r="AA87" s="32">
        <f t="shared" si="21"/>
        <v>294.3209396</v>
      </c>
      <c r="AB87" s="27">
        <f t="shared" si="22"/>
        <v>14658.09596</v>
      </c>
      <c r="AC87" s="27">
        <f t="shared" si="23"/>
        <v>15080.73781</v>
      </c>
      <c r="AD87" s="27">
        <f t="shared" si="24"/>
        <v>15503.44207</v>
      </c>
      <c r="AE87" s="29">
        <f t="shared" si="25"/>
        <v>14079.6817</v>
      </c>
    </row>
    <row r="88" ht="15.75" customHeight="1">
      <c r="A88" s="33">
        <v>2.611606026E9</v>
      </c>
      <c r="B88" s="34" t="s">
        <v>125</v>
      </c>
      <c r="C88" s="34">
        <v>1566.0</v>
      </c>
      <c r="D88" s="34">
        <v>1058.0</v>
      </c>
      <c r="E88" s="24">
        <f t="shared" si="1"/>
        <v>508</v>
      </c>
      <c r="F88" s="25">
        <f t="shared" si="2"/>
        <v>0.4801512287</v>
      </c>
      <c r="G88" s="26">
        <f t="shared" si="3"/>
        <v>0.0006926300367</v>
      </c>
      <c r="H88" s="27">
        <f t="shared" si="4"/>
        <v>1099.693558</v>
      </c>
      <c r="I88" s="27">
        <f t="shared" si="5"/>
        <v>1100.156927</v>
      </c>
      <c r="J88" s="28">
        <f t="shared" si="6"/>
        <v>0.001051769068</v>
      </c>
      <c r="K88" s="27">
        <f t="shared" si="7"/>
        <v>1669.901111</v>
      </c>
      <c r="L88" s="27">
        <f t="shared" si="8"/>
        <v>1670.604744</v>
      </c>
      <c r="M88" s="27">
        <f t="shared" si="9"/>
        <v>103.9011109</v>
      </c>
      <c r="N88" s="29">
        <f t="shared" si="10"/>
        <v>0.7036335062</v>
      </c>
      <c r="O88" s="6">
        <f t="shared" si="11"/>
        <v>0.0332185011</v>
      </c>
      <c r="P88" s="30">
        <f t="shared" si="12"/>
        <v>1671.768378</v>
      </c>
      <c r="Q88" s="27">
        <v>1466.923308788482</v>
      </c>
      <c r="R88" s="29">
        <f t="shared" si="13"/>
        <v>-99.07669121</v>
      </c>
      <c r="S88" s="30">
        <f t="shared" si="14"/>
        <v>1727.302017</v>
      </c>
      <c r="T88" s="27">
        <f t="shared" si="15"/>
        <v>1727.302017</v>
      </c>
      <c r="U88" s="29">
        <f t="shared" si="16"/>
        <v>260.3787085</v>
      </c>
      <c r="V88" s="27">
        <f t="shared" si="17"/>
        <v>1784.680401</v>
      </c>
      <c r="W88" s="27">
        <v>1374.1149386123552</v>
      </c>
      <c r="X88" s="27">
        <f t="shared" si="18"/>
        <v>-353.1870787</v>
      </c>
      <c r="Y88" s="31">
        <f t="shared" si="19"/>
        <v>-0.002130056018</v>
      </c>
      <c r="Z88" s="32">
        <f t="shared" si="20"/>
        <v>0.0332185011</v>
      </c>
      <c r="AA88" s="32">
        <f t="shared" si="21"/>
        <v>35.14517416</v>
      </c>
      <c r="AB88" s="27">
        <f t="shared" si="22"/>
        <v>1670.047451</v>
      </c>
      <c r="AC88" s="27">
        <f t="shared" si="23"/>
        <v>1722.081818</v>
      </c>
      <c r="AD88" s="27">
        <f t="shared" si="24"/>
        <v>1774.123261</v>
      </c>
      <c r="AE88" s="29">
        <f t="shared" si="25"/>
        <v>1607.770401</v>
      </c>
    </row>
    <row r="89" ht="15.75" customHeight="1">
      <c r="A89" s="33">
        <v>2.611606022E9</v>
      </c>
      <c r="B89" s="34" t="s">
        <v>126</v>
      </c>
      <c r="C89" s="34">
        <v>2382.0</v>
      </c>
      <c r="D89" s="34">
        <v>1554.0</v>
      </c>
      <c r="E89" s="24">
        <f t="shared" si="1"/>
        <v>828</v>
      </c>
      <c r="F89" s="25">
        <f t="shared" si="2"/>
        <v>0.5328185328</v>
      </c>
      <c r="G89" s="26">
        <f t="shared" si="3"/>
        <v>0.001017341283</v>
      </c>
      <c r="H89" s="27">
        <f t="shared" si="4"/>
        <v>1615.239876</v>
      </c>
      <c r="I89" s="27">
        <f t="shared" si="5"/>
        <v>1615.920477</v>
      </c>
      <c r="J89" s="28">
        <f t="shared" si="6"/>
        <v>0.001599817317</v>
      </c>
      <c r="K89" s="27">
        <f t="shared" si="7"/>
        <v>2540.041153</v>
      </c>
      <c r="L89" s="27">
        <f t="shared" si="8"/>
        <v>2541.111431</v>
      </c>
      <c r="M89" s="27">
        <f t="shared" si="9"/>
        <v>158.0411533</v>
      </c>
      <c r="N89" s="29">
        <f t="shared" si="10"/>
        <v>1.070277785</v>
      </c>
      <c r="O89" s="6">
        <f t="shared" si="11"/>
        <v>0.0362333415</v>
      </c>
      <c r="P89" s="30">
        <f t="shared" si="12"/>
        <v>2557.74286</v>
      </c>
      <c r="Q89" s="27">
        <v>2218.3324561812906</v>
      </c>
      <c r="R89" s="29">
        <f t="shared" si="13"/>
        <v>-163.6675438</v>
      </c>
      <c r="S89" s="30">
        <f t="shared" si="14"/>
        <v>2650.41843</v>
      </c>
      <c r="T89" s="27">
        <f t="shared" si="15"/>
        <v>2650.41843</v>
      </c>
      <c r="U89" s="29">
        <f t="shared" si="16"/>
        <v>432.0859739</v>
      </c>
      <c r="V89" s="27">
        <f t="shared" si="17"/>
        <v>2746.451946</v>
      </c>
      <c r="W89" s="27">
        <v>2065.910531547992</v>
      </c>
      <c r="X89" s="27">
        <f t="shared" si="18"/>
        <v>-584.5078985</v>
      </c>
      <c r="Y89" s="31">
        <f t="shared" si="19"/>
        <v>-0.002130056018</v>
      </c>
      <c r="Z89" s="32">
        <f t="shared" si="20"/>
        <v>0.0362333415</v>
      </c>
      <c r="AA89" s="32">
        <f t="shared" si="21"/>
        <v>56.30661269</v>
      </c>
      <c r="AB89" s="27">
        <f t="shared" si="22"/>
        <v>2554.626446</v>
      </c>
      <c r="AC89" s="27">
        <f t="shared" si="23"/>
        <v>2640.955858</v>
      </c>
      <c r="AD89" s="27">
        <f t="shared" si="24"/>
        <v>2727.296031</v>
      </c>
      <c r="AE89" s="29">
        <f t="shared" si="25"/>
        <v>2465.64978</v>
      </c>
    </row>
    <row r="90" ht="15.75" customHeight="1">
      <c r="A90" s="33">
        <v>2.611606083E9</v>
      </c>
      <c r="B90" s="34" t="s">
        <v>127</v>
      </c>
      <c r="C90" s="34">
        <v>12768.0</v>
      </c>
      <c r="D90" s="34">
        <v>7677.0</v>
      </c>
      <c r="E90" s="24">
        <f t="shared" si="1"/>
        <v>5091</v>
      </c>
      <c r="F90" s="25">
        <f t="shared" si="2"/>
        <v>0.6631496678</v>
      </c>
      <c r="G90" s="26">
        <f t="shared" si="3"/>
        <v>0.005025823055</v>
      </c>
      <c r="H90" s="27">
        <f t="shared" si="4"/>
        <v>7979.534445</v>
      </c>
      <c r="I90" s="27">
        <f t="shared" si="5"/>
        <v>7982.89672</v>
      </c>
      <c r="J90" s="28">
        <f t="shared" si="6"/>
        <v>0.008575343202</v>
      </c>
      <c r="K90" s="27">
        <f t="shared" si="7"/>
        <v>13615.13243</v>
      </c>
      <c r="L90" s="27">
        <f t="shared" si="8"/>
        <v>13620.86933</v>
      </c>
      <c r="M90" s="27">
        <f t="shared" si="9"/>
        <v>847.1324289</v>
      </c>
      <c r="N90" s="29">
        <f t="shared" si="10"/>
        <v>5.736904602</v>
      </c>
      <c r="O90" s="6">
        <f t="shared" si="11"/>
        <v>0.04330417294</v>
      </c>
      <c r="P90" s="30">
        <f t="shared" si="12"/>
        <v>13897.75857</v>
      </c>
      <c r="Q90" s="27">
        <v>11730.080298753704</v>
      </c>
      <c r="R90" s="29">
        <f t="shared" si="13"/>
        <v>-1037.919701</v>
      </c>
      <c r="S90" s="30">
        <f t="shared" si="14"/>
        <v>14499.58951</v>
      </c>
      <c r="T90" s="27">
        <f t="shared" si="15"/>
        <v>14499.58951</v>
      </c>
      <c r="U90" s="29">
        <f t="shared" si="16"/>
        <v>2769.509212</v>
      </c>
      <c r="V90" s="27">
        <f t="shared" si="17"/>
        <v>15127.48224</v>
      </c>
      <c r="W90" s="27">
        <v>10776.533820113551</v>
      </c>
      <c r="X90" s="27">
        <f t="shared" si="18"/>
        <v>-3723.055691</v>
      </c>
      <c r="Y90" s="31">
        <f t="shared" si="19"/>
        <v>-0.002130056018</v>
      </c>
      <c r="Z90" s="32">
        <f t="shared" si="20"/>
        <v>0.04330417294</v>
      </c>
      <c r="AA90" s="32">
        <f t="shared" si="21"/>
        <v>332.4461357</v>
      </c>
      <c r="AB90" s="27">
        <f t="shared" si="22"/>
        <v>13873.87329</v>
      </c>
      <c r="AC90" s="27">
        <f t="shared" si="23"/>
        <v>14426.89671</v>
      </c>
      <c r="AD90" s="27">
        <f t="shared" si="24"/>
        <v>14979.97781</v>
      </c>
      <c r="AE90" s="29">
        <f t="shared" si="25"/>
        <v>13469.24243</v>
      </c>
    </row>
    <row r="91" ht="15.75" customHeight="1">
      <c r="A91" s="33">
        <v>2.611606038E9</v>
      </c>
      <c r="B91" s="34" t="s">
        <v>128</v>
      </c>
      <c r="C91" s="34">
        <v>11095.0</v>
      </c>
      <c r="D91" s="34">
        <v>6287.0</v>
      </c>
      <c r="E91" s="24">
        <f t="shared" si="1"/>
        <v>4808</v>
      </c>
      <c r="F91" s="25">
        <f t="shared" si="2"/>
        <v>0.7647526642</v>
      </c>
      <c r="G91" s="26">
        <f t="shared" si="3"/>
        <v>0.004115845974</v>
      </c>
      <c r="H91" s="27">
        <f t="shared" si="4"/>
        <v>6534.757464</v>
      </c>
      <c r="I91" s="27">
        <f t="shared" si="5"/>
        <v>6537.510965</v>
      </c>
      <c r="J91" s="28">
        <f t="shared" si="6"/>
        <v>0.007451709964</v>
      </c>
      <c r="K91" s="27">
        <f t="shared" si="7"/>
        <v>11831.13207</v>
      </c>
      <c r="L91" s="27">
        <f t="shared" si="8"/>
        <v>11836.11727</v>
      </c>
      <c r="M91" s="27">
        <f t="shared" si="9"/>
        <v>736.1320722</v>
      </c>
      <c r="N91" s="29">
        <f t="shared" si="10"/>
        <v>4.985193966</v>
      </c>
      <c r="O91" s="6">
        <f t="shared" si="11"/>
        <v>0.04847236284</v>
      </c>
      <c r="P91" s="30">
        <f t="shared" si="12"/>
        <v>12196.67021</v>
      </c>
      <c r="Q91" s="27">
        <v>10092.83869123432</v>
      </c>
      <c r="R91" s="29">
        <f t="shared" si="13"/>
        <v>-1002.161309</v>
      </c>
      <c r="S91" s="30">
        <f t="shared" si="14"/>
        <v>12787.87163</v>
      </c>
      <c r="T91" s="27">
        <f t="shared" si="15"/>
        <v>12787.87163</v>
      </c>
      <c r="U91" s="29">
        <f t="shared" si="16"/>
        <v>2695.032943</v>
      </c>
      <c r="V91" s="27">
        <f t="shared" si="17"/>
        <v>13407.72999</v>
      </c>
      <c r="W91" s="27">
        <v>9181.198093490446</v>
      </c>
      <c r="X91" s="27">
        <f t="shared" si="18"/>
        <v>-3606.67354</v>
      </c>
      <c r="Y91" s="31">
        <f t="shared" si="19"/>
        <v>-0.002130056018</v>
      </c>
      <c r="Z91" s="32">
        <f t="shared" si="20"/>
        <v>0.04847236284</v>
      </c>
      <c r="AA91" s="32">
        <f t="shared" si="21"/>
        <v>304.7457452</v>
      </c>
      <c r="AB91" s="27">
        <f t="shared" si="22"/>
        <v>12170.65207</v>
      </c>
      <c r="AC91" s="27">
        <f t="shared" si="23"/>
        <v>12708.55351</v>
      </c>
      <c r="AD91" s="27">
        <f t="shared" si="24"/>
        <v>13246.50507</v>
      </c>
      <c r="AE91" s="29">
        <f t="shared" si="25"/>
        <v>11864.96248</v>
      </c>
    </row>
    <row r="92" ht="15.75" customHeight="1">
      <c r="A92" s="33">
        <v>2.611606017E9</v>
      </c>
      <c r="B92" s="34" t="s">
        <v>129</v>
      </c>
      <c r="C92" s="34">
        <v>7271.0</v>
      </c>
      <c r="D92" s="34">
        <v>4075.0</v>
      </c>
      <c r="E92" s="24">
        <f t="shared" si="1"/>
        <v>3196</v>
      </c>
      <c r="F92" s="25">
        <f t="shared" si="2"/>
        <v>0.7842944785</v>
      </c>
      <c r="G92" s="26">
        <f t="shared" si="3"/>
        <v>0.002667738563</v>
      </c>
      <c r="H92" s="27">
        <f t="shared" si="4"/>
        <v>4235.587191</v>
      </c>
      <c r="I92" s="27">
        <f t="shared" si="5"/>
        <v>4237.371908</v>
      </c>
      <c r="J92" s="28">
        <f t="shared" si="6"/>
        <v>0.004883405421</v>
      </c>
      <c r="K92" s="27">
        <f t="shared" si="7"/>
        <v>7753.416971</v>
      </c>
      <c r="L92" s="27">
        <f t="shared" si="8"/>
        <v>7756.68397</v>
      </c>
      <c r="M92" s="27">
        <f t="shared" si="9"/>
        <v>482.4169714</v>
      </c>
      <c r="N92" s="29">
        <f t="shared" si="10"/>
        <v>3.266998227</v>
      </c>
      <c r="O92" s="6">
        <f t="shared" si="11"/>
        <v>0.0494349998</v>
      </c>
      <c r="P92" s="30">
        <f t="shared" si="12"/>
        <v>8007.652777</v>
      </c>
      <c r="Q92" s="27">
        <v>6602.114561589831</v>
      </c>
      <c r="R92" s="29">
        <f t="shared" si="13"/>
        <v>-668.8854384</v>
      </c>
      <c r="S92" s="30">
        <f t="shared" si="14"/>
        <v>8403.51109</v>
      </c>
      <c r="T92" s="27">
        <f t="shared" si="15"/>
        <v>8403.51109</v>
      </c>
      <c r="U92" s="29">
        <f t="shared" si="16"/>
        <v>1801.396528</v>
      </c>
      <c r="V92" s="27">
        <f t="shared" si="17"/>
        <v>8818.938659</v>
      </c>
      <c r="W92" s="27">
        <v>5994.762300145302</v>
      </c>
      <c r="X92" s="27">
        <f t="shared" si="18"/>
        <v>-2408.74879</v>
      </c>
      <c r="Y92" s="31">
        <f t="shared" si="19"/>
        <v>-0.002130056018</v>
      </c>
      <c r="Z92" s="32">
        <f t="shared" si="20"/>
        <v>0.0494349998</v>
      </c>
      <c r="AA92" s="32">
        <f t="shared" si="21"/>
        <v>201.4476242</v>
      </c>
      <c r="AB92" s="27">
        <f t="shared" si="22"/>
        <v>7989.916757</v>
      </c>
      <c r="AC92" s="27">
        <f t="shared" si="23"/>
        <v>8349.424549</v>
      </c>
      <c r="AD92" s="27">
        <f t="shared" si="24"/>
        <v>8708.96519</v>
      </c>
      <c r="AE92" s="29">
        <f t="shared" si="25"/>
        <v>7795.191558</v>
      </c>
    </row>
    <row r="93" ht="15.75" customHeight="1">
      <c r="A93" s="33">
        <v>2.611606005E9</v>
      </c>
      <c r="B93" s="34" t="s">
        <v>130</v>
      </c>
      <c r="C93" s="34">
        <v>447.0</v>
      </c>
      <c r="D93" s="34">
        <v>246.0</v>
      </c>
      <c r="E93" s="24">
        <f t="shared" si="1"/>
        <v>201</v>
      </c>
      <c r="F93" s="25">
        <f t="shared" si="2"/>
        <v>0.8170731707</v>
      </c>
      <c r="G93" s="26">
        <f t="shared" si="3"/>
        <v>0.0001610463034</v>
      </c>
      <c r="H93" s="27">
        <f t="shared" si="4"/>
        <v>255.6943433</v>
      </c>
      <c r="I93" s="27">
        <f t="shared" si="5"/>
        <v>255.8020833</v>
      </c>
      <c r="J93" s="28">
        <f t="shared" si="6"/>
        <v>0.0003002176074</v>
      </c>
      <c r="K93" s="27">
        <f t="shared" si="7"/>
        <v>476.6575968</v>
      </c>
      <c r="L93" s="27">
        <f t="shared" si="8"/>
        <v>476.8584424</v>
      </c>
      <c r="M93" s="27">
        <f t="shared" si="9"/>
        <v>29.65759678</v>
      </c>
      <c r="N93" s="29">
        <f t="shared" si="10"/>
        <v>0.2008455793</v>
      </c>
      <c r="O93" s="6">
        <f t="shared" si="11"/>
        <v>0.05102819835</v>
      </c>
      <c r="P93" s="30">
        <f t="shared" si="12"/>
        <v>493.7831424</v>
      </c>
      <c r="Q93" s="27">
        <v>404.6492941122913</v>
      </c>
      <c r="R93" s="29">
        <f t="shared" si="13"/>
        <v>-42.35070589</v>
      </c>
      <c r="S93" s="30">
        <f t="shared" si="14"/>
        <v>518.9800065</v>
      </c>
      <c r="T93" s="27">
        <f t="shared" si="15"/>
        <v>518.9800065</v>
      </c>
      <c r="U93" s="29">
        <f t="shared" si="16"/>
        <v>114.3307124</v>
      </c>
      <c r="V93" s="27">
        <f t="shared" si="17"/>
        <v>545.4626212</v>
      </c>
      <c r="W93" s="27">
        <v>366.31107656728324</v>
      </c>
      <c r="X93" s="27">
        <f t="shared" si="18"/>
        <v>-152.6689299</v>
      </c>
      <c r="Y93" s="31">
        <f t="shared" si="19"/>
        <v>-0.002130056018</v>
      </c>
      <c r="Z93" s="32">
        <f t="shared" si="20"/>
        <v>0.05102819835</v>
      </c>
      <c r="AA93" s="32">
        <f t="shared" si="21"/>
        <v>12.55293679</v>
      </c>
      <c r="AB93" s="27">
        <f t="shared" si="22"/>
        <v>492.6212374</v>
      </c>
      <c r="AC93" s="27">
        <f t="shared" si="23"/>
        <v>515.434894</v>
      </c>
      <c r="AD93" s="27">
        <f t="shared" si="24"/>
        <v>538.25057</v>
      </c>
      <c r="AE93" s="29">
        <f t="shared" si="25"/>
        <v>481.2204375</v>
      </c>
    </row>
    <row r="94" ht="15.75" customHeight="1">
      <c r="A94" s="33">
        <v>2.611606074E9</v>
      </c>
      <c r="B94" s="34" t="s">
        <v>131</v>
      </c>
      <c r="C94" s="34">
        <v>1819.0</v>
      </c>
      <c r="D94" s="34">
        <v>766.0</v>
      </c>
      <c r="E94" s="24">
        <f t="shared" si="1"/>
        <v>1053</v>
      </c>
      <c r="F94" s="25">
        <f t="shared" si="2"/>
        <v>1.374673629</v>
      </c>
      <c r="G94" s="26">
        <f t="shared" si="3"/>
        <v>0.0005014693839</v>
      </c>
      <c r="H94" s="27">
        <f t="shared" si="4"/>
        <v>796.186451</v>
      </c>
      <c r="I94" s="27">
        <f t="shared" si="5"/>
        <v>796.521934</v>
      </c>
      <c r="J94" s="28">
        <f t="shared" si="6"/>
        <v>0.00122169089</v>
      </c>
      <c r="K94" s="27">
        <f t="shared" si="7"/>
        <v>1939.687178</v>
      </c>
      <c r="L94" s="27">
        <f t="shared" si="8"/>
        <v>1940.504489</v>
      </c>
      <c r="M94" s="27">
        <f t="shared" si="9"/>
        <v>120.687178</v>
      </c>
      <c r="N94" s="29">
        <f t="shared" si="10"/>
        <v>0.8173112054</v>
      </c>
      <c r="O94" s="6">
        <f t="shared" si="11"/>
        <v>0.07473236458</v>
      </c>
      <c r="P94" s="30">
        <f t="shared" si="12"/>
        <v>2101.035323</v>
      </c>
      <c r="Q94" s="27">
        <v>1574.8240704543716</v>
      </c>
      <c r="R94" s="29">
        <f t="shared" si="13"/>
        <v>-244.1759295</v>
      </c>
      <c r="S94" s="30">
        <f t="shared" si="14"/>
        <v>2258.050661</v>
      </c>
      <c r="T94" s="27">
        <f t="shared" si="15"/>
        <v>2258.050661</v>
      </c>
      <c r="U94" s="29">
        <f t="shared" si="16"/>
        <v>683.2265906</v>
      </c>
      <c r="V94" s="27">
        <f t="shared" si="17"/>
        <v>2426.800126</v>
      </c>
      <c r="W94" s="27">
        <v>1363.4254276429226</v>
      </c>
      <c r="X94" s="27">
        <f t="shared" si="18"/>
        <v>-894.6252334</v>
      </c>
      <c r="Y94" s="31">
        <f t="shared" si="19"/>
        <v>-0.002130056018</v>
      </c>
      <c r="Z94" s="32">
        <f t="shared" si="20"/>
        <v>0.07473236458</v>
      </c>
      <c r="AA94" s="32">
        <f t="shared" si="21"/>
        <v>57.24499127</v>
      </c>
      <c r="AB94" s="27">
        <f t="shared" si="22"/>
        <v>2090.884595</v>
      </c>
      <c r="AC94" s="27">
        <f t="shared" si="23"/>
        <v>2226.839255</v>
      </c>
      <c r="AD94" s="27">
        <f t="shared" si="24"/>
        <v>2362.802133</v>
      </c>
      <c r="AE94" s="29">
        <f t="shared" si="25"/>
        <v>2079.022148</v>
      </c>
    </row>
    <row r="95" ht="15.75" customHeight="1">
      <c r="A95" s="37">
        <v>2.611606001E9</v>
      </c>
      <c r="B95" s="38" t="s">
        <v>132</v>
      </c>
      <c r="C95" s="38">
        <v>541.0</v>
      </c>
      <c r="D95" s="39">
        <v>1.0</v>
      </c>
      <c r="E95" s="40">
        <f t="shared" si="1"/>
        <v>540</v>
      </c>
      <c r="F95" s="41">
        <f t="shared" si="2"/>
        <v>540</v>
      </c>
      <c r="G95" s="42">
        <f t="shared" si="3"/>
        <v>0.00000065465977</v>
      </c>
      <c r="H95" s="43">
        <f t="shared" si="4"/>
        <v>1.0394079</v>
      </c>
      <c r="I95" s="43">
        <f t="shared" si="5"/>
        <v>1.039845867</v>
      </c>
      <c r="J95" s="44">
        <f t="shared" si="6"/>
        <v>0.0003633506166</v>
      </c>
      <c r="K95" s="43">
        <f t="shared" si="7"/>
        <v>576.8943174</v>
      </c>
      <c r="L95" s="43">
        <f t="shared" si="8"/>
        <v>577.1373989</v>
      </c>
      <c r="M95" s="43">
        <f t="shared" si="9"/>
        <v>35.89431736</v>
      </c>
      <c r="N95" s="45">
        <f t="shared" si="10"/>
        <v>0.2430815625</v>
      </c>
      <c r="O95" s="6">
        <f t="shared" si="11"/>
        <v>0.689532066</v>
      </c>
      <c r="P95" s="30">
        <f t="shared" si="12"/>
        <v>1544.294564</v>
      </c>
      <c r="Q95" s="27">
        <v>0.0</v>
      </c>
      <c r="R95" s="29">
        <f t="shared" si="13"/>
        <v>-541</v>
      </c>
      <c r="S95" s="30">
        <f t="shared" si="14"/>
        <v>2609.135185</v>
      </c>
      <c r="T95" s="27">
        <f t="shared" si="15"/>
        <v>2609.135185</v>
      </c>
      <c r="U95" s="29">
        <f t="shared" si="16"/>
        <v>2609.135185</v>
      </c>
      <c r="V95" s="27">
        <f t="shared" si="17"/>
        <v>4408.217559</v>
      </c>
      <c r="W95" s="27">
        <v>0.0</v>
      </c>
      <c r="X95" s="27">
        <f t="shared" si="18"/>
        <v>-2609.135185</v>
      </c>
      <c r="Y95" s="46">
        <f t="shared" si="19"/>
        <v>-0.002130056018</v>
      </c>
      <c r="Z95" s="47">
        <v>0.0</v>
      </c>
      <c r="AA95" s="47">
        <f t="shared" si="21"/>
        <v>0</v>
      </c>
      <c r="AB95" s="27">
        <f t="shared" si="22"/>
        <v>541.0024546</v>
      </c>
      <c r="AC95" s="27">
        <f t="shared" si="23"/>
        <v>541.0073585</v>
      </c>
      <c r="AD95" s="27">
        <f t="shared" si="24"/>
        <v>541.0147066</v>
      </c>
      <c r="AE95" s="29">
        <f t="shared" si="25"/>
        <v>505.0954074</v>
      </c>
    </row>
    <row r="96" ht="15.75" customHeight="1">
      <c r="C96" s="48">
        <f t="shared" ref="C96:D96" si="26">SUM(C2:C95)</f>
        <v>1488920</v>
      </c>
      <c r="D96" s="49">
        <f t="shared" si="26"/>
        <v>1527511</v>
      </c>
      <c r="E96" s="27"/>
      <c r="F96" s="27"/>
      <c r="G96" s="32"/>
      <c r="H96" s="50">
        <f t="shared" ref="H96:I96" si="27">SUM(H2:H95)</f>
        <v>1587707</v>
      </c>
      <c r="I96" s="51">
        <f t="shared" si="27"/>
        <v>1588376</v>
      </c>
      <c r="J96" s="27"/>
      <c r="K96" s="48">
        <f t="shared" ref="K96:N96" si="28">SUM(K2:K95)</f>
        <v>1587707</v>
      </c>
      <c r="L96" s="49">
        <f t="shared" si="28"/>
        <v>1588376</v>
      </c>
      <c r="M96" s="49">
        <f t="shared" si="28"/>
        <v>98787</v>
      </c>
      <c r="N96" s="49">
        <f t="shared" si="28"/>
        <v>669</v>
      </c>
      <c r="O96" s="27"/>
      <c r="P96" s="52">
        <f t="shared" ref="P96:X96" si="29">SUM(P2:P95)</f>
        <v>1486130.841</v>
      </c>
      <c r="Q96" s="53">
        <f t="shared" si="29"/>
        <v>1492988.453</v>
      </c>
      <c r="R96" s="54">
        <f t="shared" si="29"/>
        <v>4068.453349</v>
      </c>
      <c r="S96" s="55">
        <f t="shared" si="29"/>
        <v>1485614.889</v>
      </c>
      <c r="T96" s="55">
        <f t="shared" si="29"/>
        <v>1485614.889</v>
      </c>
      <c r="U96" s="54">
        <f t="shared" si="29"/>
        <v>-7373.564292</v>
      </c>
      <c r="V96" s="55">
        <f t="shared" si="29"/>
        <v>1486048.807</v>
      </c>
      <c r="W96" s="55">
        <f t="shared" si="29"/>
        <v>1498389.229</v>
      </c>
      <c r="X96" s="54">
        <f t="shared" si="29"/>
        <v>12774.33992</v>
      </c>
      <c r="Y96" s="27"/>
      <c r="Z96" s="27"/>
      <c r="AA96" s="27"/>
      <c r="AB96" s="50">
        <f t="shared" ref="AB96:AE96" si="30">SUM(AB2:AB95)</f>
        <v>1484926.551</v>
      </c>
      <c r="AC96" s="55">
        <f t="shared" si="30"/>
        <v>1482939.945</v>
      </c>
      <c r="AD96" s="56">
        <f t="shared" si="30"/>
        <v>1480960.067</v>
      </c>
      <c r="AE96" s="51">
        <f t="shared" si="30"/>
        <v>1384502.713</v>
      </c>
    </row>
    <row r="97" ht="15.75" customHeight="1">
      <c r="D97" s="34"/>
      <c r="E97" s="24"/>
      <c r="F97" s="32"/>
      <c r="G97" s="32"/>
      <c r="H97" s="32"/>
      <c r="I97" s="32"/>
      <c r="J97" s="32"/>
      <c r="K97" s="32"/>
      <c r="L97" s="32"/>
      <c r="M97" s="32"/>
      <c r="N97" s="32"/>
      <c r="O97" s="6"/>
      <c r="P97" s="6"/>
      <c r="Q97" s="6"/>
      <c r="R97" s="6"/>
      <c r="S97" s="32"/>
      <c r="T97" s="32"/>
      <c r="U97" s="6"/>
      <c r="W97" s="32"/>
      <c r="X97" s="32"/>
      <c r="Y97" s="32"/>
      <c r="Z97" s="32"/>
      <c r="AA97" s="32"/>
      <c r="AB97" s="32"/>
      <c r="AC97" s="32"/>
      <c r="AD97" s="32"/>
      <c r="AE97" s="32"/>
    </row>
    <row r="98" ht="15.75" customHeight="1">
      <c r="D98" s="34"/>
      <c r="E98" s="24"/>
      <c r="F98" s="32"/>
      <c r="G98" s="32"/>
      <c r="H98" s="32"/>
      <c r="I98" s="32"/>
      <c r="J98" s="32"/>
      <c r="K98" s="32"/>
      <c r="L98" s="32"/>
      <c r="M98" s="32"/>
      <c r="N98" s="32"/>
      <c r="O98" s="6"/>
      <c r="P98" s="6"/>
      <c r="Q98" s="6"/>
      <c r="R98" s="6"/>
      <c r="S98" s="32"/>
      <c r="T98" s="32"/>
      <c r="U98" s="6"/>
      <c r="W98" s="32"/>
      <c r="X98" s="32"/>
      <c r="Y98" s="32"/>
      <c r="Z98" s="32"/>
      <c r="AA98" s="32"/>
      <c r="AB98" s="32"/>
      <c r="AC98" s="32"/>
      <c r="AD98" s="32"/>
      <c r="AE98" s="32"/>
    </row>
    <row r="99" ht="15.75" customHeight="1">
      <c r="D99" s="34"/>
      <c r="E99" s="24"/>
      <c r="F99" s="32"/>
      <c r="G99" s="32"/>
      <c r="H99" s="32"/>
      <c r="I99" s="32"/>
      <c r="J99" s="32"/>
      <c r="K99" s="32"/>
      <c r="L99" s="32"/>
      <c r="M99" s="32"/>
      <c r="N99" s="32"/>
      <c r="O99" s="6"/>
      <c r="P99" s="6"/>
      <c r="Q99" s="6"/>
      <c r="R99" s="6"/>
      <c r="S99" s="32"/>
      <c r="T99" s="32"/>
      <c r="U99" s="6"/>
      <c r="W99" s="32"/>
      <c r="X99" s="32"/>
      <c r="Y99" s="32"/>
      <c r="Z99" s="32"/>
      <c r="AA99" s="32"/>
      <c r="AB99" s="32"/>
      <c r="AC99" s="32"/>
      <c r="AD99" s="32"/>
      <c r="AE99" s="32"/>
    </row>
    <row r="100" ht="15.75" customHeight="1">
      <c r="D100" s="34"/>
      <c r="E100" s="24"/>
      <c r="F100" s="32"/>
      <c r="G100" s="32"/>
      <c r="H100" s="32"/>
      <c r="I100" s="32"/>
      <c r="J100" s="32"/>
      <c r="K100" s="32"/>
      <c r="L100" s="32"/>
      <c r="M100" s="32"/>
      <c r="N100" s="32"/>
      <c r="O100" s="6"/>
      <c r="P100" s="6"/>
      <c r="Q100" s="6"/>
      <c r="R100" s="6"/>
      <c r="S100" s="32"/>
      <c r="T100" s="32"/>
      <c r="U100" s="6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ht="15.75" customHeight="1">
      <c r="D101" s="34"/>
      <c r="E101" s="24"/>
      <c r="F101" s="32"/>
      <c r="G101" s="32"/>
      <c r="H101" s="32"/>
      <c r="I101" s="32"/>
      <c r="J101" s="32"/>
      <c r="K101" s="32"/>
      <c r="L101" s="32"/>
      <c r="M101" s="32"/>
      <c r="N101" s="32"/>
      <c r="O101" s="6"/>
      <c r="P101" s="6"/>
      <c r="Q101" s="6"/>
      <c r="R101" s="6"/>
      <c r="S101" s="32"/>
      <c r="T101" s="32"/>
      <c r="U101" s="6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ht="15.75" customHeight="1">
      <c r="D102" s="34"/>
      <c r="E102" s="24"/>
      <c r="F102" s="32"/>
      <c r="G102" s="32"/>
      <c r="H102" s="32"/>
      <c r="I102" s="32"/>
      <c r="J102" s="32"/>
      <c r="K102" s="32"/>
      <c r="L102" s="32"/>
      <c r="M102" s="32"/>
      <c r="N102" s="32"/>
      <c r="O102" s="6"/>
      <c r="P102" s="6"/>
      <c r="Q102" s="6"/>
      <c r="R102" s="6"/>
      <c r="S102" s="32"/>
      <c r="T102" s="32"/>
      <c r="U102" s="6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ht="15.75" customHeight="1">
      <c r="D103" s="34"/>
      <c r="E103" s="24"/>
      <c r="F103" s="32"/>
      <c r="G103" s="32"/>
      <c r="H103" s="32"/>
      <c r="I103" s="32"/>
      <c r="J103" s="32"/>
      <c r="K103" s="32"/>
      <c r="L103" s="32"/>
      <c r="M103" s="32"/>
      <c r="N103" s="32"/>
      <c r="O103" s="6"/>
      <c r="P103" s="6"/>
      <c r="Q103" s="6"/>
      <c r="R103" s="6"/>
      <c r="S103" s="32"/>
      <c r="T103" s="32"/>
      <c r="U103" s="6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ht="15.75" customHeight="1">
      <c r="D104" s="34"/>
      <c r="E104" s="24"/>
      <c r="F104" s="32"/>
      <c r="G104" s="32"/>
      <c r="H104" s="32"/>
      <c r="I104" s="32"/>
      <c r="J104" s="32"/>
      <c r="K104" s="32"/>
      <c r="L104" s="32"/>
      <c r="M104" s="32"/>
      <c r="N104" s="32"/>
      <c r="O104" s="6"/>
      <c r="P104" s="6"/>
      <c r="Q104" s="6"/>
      <c r="R104" s="6"/>
      <c r="S104" s="32"/>
      <c r="T104" s="32"/>
      <c r="U104" s="6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ht="15.75" customHeight="1">
      <c r="D105" s="34"/>
      <c r="E105" s="24"/>
      <c r="F105" s="32"/>
      <c r="G105" s="32"/>
      <c r="H105" s="32"/>
      <c r="I105" s="32"/>
      <c r="J105" s="32"/>
      <c r="K105" s="32"/>
      <c r="L105" s="32"/>
      <c r="M105" s="32"/>
      <c r="N105" s="32"/>
      <c r="O105" s="6"/>
      <c r="P105" s="6"/>
      <c r="Q105" s="6"/>
      <c r="R105" s="6"/>
      <c r="S105" s="32"/>
      <c r="T105" s="32"/>
      <c r="U105" s="6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ht="15.75" customHeight="1">
      <c r="D106" s="34"/>
      <c r="E106" s="24"/>
      <c r="F106" s="32"/>
      <c r="G106" s="32"/>
      <c r="H106" s="32"/>
      <c r="I106" s="32"/>
      <c r="J106" s="32"/>
      <c r="K106" s="32"/>
      <c r="L106" s="32"/>
      <c r="M106" s="32"/>
      <c r="N106" s="32"/>
      <c r="O106" s="6"/>
      <c r="P106" s="6"/>
      <c r="Q106" s="6"/>
      <c r="R106" s="6"/>
      <c r="S106" s="32"/>
      <c r="T106" s="32"/>
      <c r="U106" s="6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ht="15.75" customHeight="1">
      <c r="D107" s="34"/>
      <c r="E107" s="24"/>
      <c r="F107" s="32"/>
      <c r="G107" s="32"/>
      <c r="H107" s="32"/>
      <c r="I107" s="32"/>
      <c r="J107" s="32"/>
      <c r="K107" s="32"/>
      <c r="L107" s="32"/>
      <c r="M107" s="32"/>
      <c r="N107" s="32"/>
      <c r="O107" s="6"/>
      <c r="P107" s="6"/>
      <c r="Q107" s="6"/>
      <c r="R107" s="6"/>
      <c r="S107" s="32"/>
      <c r="T107" s="32"/>
      <c r="U107" s="6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ht="15.75" customHeight="1">
      <c r="D108" s="34"/>
      <c r="E108" s="24"/>
      <c r="F108" s="32"/>
      <c r="G108" s="32"/>
      <c r="H108" s="32"/>
      <c r="I108" s="32"/>
      <c r="J108" s="32"/>
      <c r="K108" s="32"/>
      <c r="L108" s="32"/>
      <c r="M108" s="32"/>
      <c r="N108" s="32"/>
      <c r="O108" s="6"/>
      <c r="P108" s="6"/>
      <c r="Q108" s="6"/>
      <c r="R108" s="6"/>
      <c r="S108" s="32"/>
      <c r="T108" s="32"/>
      <c r="U108" s="6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ht="15.75" customHeight="1">
      <c r="D109" s="34"/>
      <c r="E109" s="24"/>
      <c r="F109" s="32"/>
      <c r="G109" s="32"/>
      <c r="H109" s="32"/>
      <c r="I109" s="32"/>
      <c r="J109" s="32"/>
      <c r="K109" s="32"/>
      <c r="L109" s="32"/>
      <c r="M109" s="32"/>
      <c r="N109" s="32"/>
      <c r="O109" s="6"/>
      <c r="P109" s="6"/>
      <c r="Q109" s="6"/>
      <c r="R109" s="6"/>
      <c r="S109" s="32"/>
      <c r="T109" s="32"/>
      <c r="U109" s="6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ht="15.75" customHeight="1">
      <c r="D110" s="34"/>
      <c r="E110" s="24"/>
      <c r="F110" s="32"/>
      <c r="G110" s="32"/>
      <c r="H110" s="32"/>
      <c r="I110" s="32"/>
      <c r="J110" s="32"/>
      <c r="K110" s="32"/>
      <c r="L110" s="32"/>
      <c r="M110" s="32"/>
      <c r="N110" s="32"/>
      <c r="O110" s="6"/>
      <c r="P110" s="6"/>
      <c r="Q110" s="6"/>
      <c r="R110" s="6"/>
      <c r="S110" s="32"/>
      <c r="T110" s="32"/>
      <c r="U110" s="6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ht="15.75" customHeight="1">
      <c r="D111" s="34"/>
      <c r="E111" s="24"/>
      <c r="F111" s="32"/>
      <c r="G111" s="32"/>
      <c r="H111" s="32"/>
      <c r="I111" s="32"/>
      <c r="J111" s="32"/>
      <c r="K111" s="32"/>
      <c r="L111" s="32"/>
      <c r="M111" s="32"/>
      <c r="N111" s="32"/>
      <c r="O111" s="6"/>
      <c r="P111" s="6"/>
      <c r="Q111" s="6"/>
      <c r="R111" s="6"/>
      <c r="S111" s="32"/>
      <c r="T111" s="32"/>
      <c r="U111" s="6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ht="15.75" customHeight="1">
      <c r="D112" s="34"/>
      <c r="E112" s="24"/>
      <c r="F112" s="32"/>
      <c r="G112" s="32"/>
      <c r="H112" s="32"/>
      <c r="I112" s="32"/>
      <c r="J112" s="32"/>
      <c r="K112" s="32"/>
      <c r="L112" s="32"/>
      <c r="M112" s="32"/>
      <c r="N112" s="32"/>
      <c r="O112" s="6"/>
      <c r="P112" s="6"/>
      <c r="Q112" s="6"/>
      <c r="R112" s="6"/>
      <c r="S112" s="32"/>
      <c r="T112" s="32"/>
      <c r="U112" s="6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ht="15.75" customHeight="1">
      <c r="D113" s="34"/>
      <c r="E113" s="24"/>
      <c r="F113" s="32"/>
      <c r="G113" s="32"/>
      <c r="H113" s="32"/>
      <c r="I113" s="32"/>
      <c r="J113" s="32"/>
      <c r="K113" s="32"/>
      <c r="L113" s="32"/>
      <c r="M113" s="32"/>
      <c r="N113" s="32"/>
      <c r="O113" s="6"/>
      <c r="P113" s="6"/>
      <c r="Q113" s="6"/>
      <c r="R113" s="6"/>
      <c r="S113" s="32"/>
      <c r="T113" s="32"/>
      <c r="U113" s="6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ht="15.75" customHeight="1">
      <c r="D114" s="34"/>
      <c r="E114" s="24"/>
      <c r="F114" s="32"/>
      <c r="G114" s="32"/>
      <c r="H114" s="32"/>
      <c r="I114" s="32"/>
      <c r="J114" s="32"/>
      <c r="K114" s="32"/>
      <c r="L114" s="32"/>
      <c r="M114" s="32"/>
      <c r="N114" s="32"/>
      <c r="O114" s="6"/>
      <c r="P114" s="6"/>
      <c r="Q114" s="6"/>
      <c r="R114" s="6"/>
      <c r="S114" s="32"/>
      <c r="T114" s="32"/>
      <c r="U114" s="6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ht="15.75" customHeight="1">
      <c r="D115" s="34"/>
      <c r="E115" s="24"/>
      <c r="F115" s="32"/>
      <c r="G115" s="32"/>
      <c r="H115" s="32"/>
      <c r="I115" s="32"/>
      <c r="J115" s="32"/>
      <c r="K115" s="32"/>
      <c r="L115" s="32"/>
      <c r="M115" s="32"/>
      <c r="N115" s="32"/>
      <c r="O115" s="6"/>
      <c r="P115" s="6"/>
      <c r="Q115" s="6"/>
      <c r="R115" s="6"/>
      <c r="S115" s="32"/>
      <c r="T115" s="32"/>
      <c r="U115" s="6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ht="15.75" customHeight="1">
      <c r="D116" s="34"/>
      <c r="E116" s="24"/>
      <c r="F116" s="32"/>
      <c r="G116" s="32"/>
      <c r="H116" s="32"/>
      <c r="I116" s="32"/>
      <c r="J116" s="32"/>
      <c r="K116" s="32"/>
      <c r="L116" s="32"/>
      <c r="M116" s="32"/>
      <c r="N116" s="32"/>
      <c r="O116" s="6"/>
      <c r="P116" s="6"/>
      <c r="Q116" s="6"/>
      <c r="R116" s="6"/>
      <c r="S116" s="32"/>
      <c r="T116" s="32"/>
      <c r="U116" s="6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ht="15.75" customHeight="1">
      <c r="D117" s="34"/>
      <c r="E117" s="24"/>
      <c r="F117" s="32"/>
      <c r="G117" s="32"/>
      <c r="H117" s="32"/>
      <c r="I117" s="32"/>
      <c r="J117" s="32"/>
      <c r="K117" s="32"/>
      <c r="L117" s="32"/>
      <c r="M117" s="32"/>
      <c r="N117" s="32"/>
      <c r="O117" s="6"/>
      <c r="P117" s="6"/>
      <c r="Q117" s="6"/>
      <c r="R117" s="6"/>
      <c r="S117" s="32"/>
      <c r="T117" s="32"/>
      <c r="U117" s="6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ht="15.75" customHeight="1">
      <c r="D118" s="34"/>
      <c r="E118" s="24"/>
      <c r="F118" s="32"/>
      <c r="G118" s="32"/>
      <c r="H118" s="32"/>
      <c r="I118" s="32"/>
      <c r="J118" s="32"/>
      <c r="K118" s="32"/>
      <c r="L118" s="32"/>
      <c r="M118" s="32"/>
      <c r="N118" s="32"/>
      <c r="O118" s="6"/>
      <c r="P118" s="6"/>
      <c r="Q118" s="6"/>
      <c r="R118" s="6"/>
      <c r="S118" s="32"/>
      <c r="T118" s="32"/>
      <c r="U118" s="6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ht="15.75" customHeight="1">
      <c r="D119" s="34"/>
      <c r="E119" s="24"/>
      <c r="F119" s="32"/>
      <c r="G119" s="32"/>
      <c r="H119" s="32"/>
      <c r="I119" s="32"/>
      <c r="J119" s="32"/>
      <c r="K119" s="32"/>
      <c r="L119" s="32"/>
      <c r="M119" s="32"/>
      <c r="N119" s="32"/>
      <c r="O119" s="6"/>
      <c r="P119" s="6"/>
      <c r="Q119" s="6"/>
      <c r="R119" s="6"/>
      <c r="S119" s="32"/>
      <c r="T119" s="32"/>
      <c r="U119" s="6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ht="15.75" customHeight="1">
      <c r="D120" s="34"/>
      <c r="E120" s="24"/>
      <c r="F120" s="32"/>
      <c r="G120" s="32"/>
      <c r="H120" s="32"/>
      <c r="I120" s="32"/>
      <c r="J120" s="32"/>
      <c r="K120" s="32"/>
      <c r="L120" s="32"/>
      <c r="M120" s="32"/>
      <c r="N120" s="32"/>
      <c r="O120" s="6"/>
      <c r="P120" s="6"/>
      <c r="Q120" s="6"/>
      <c r="R120" s="6"/>
      <c r="S120" s="32"/>
      <c r="T120" s="32"/>
      <c r="U120" s="6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ht="15.75" customHeight="1">
      <c r="D121" s="34"/>
      <c r="E121" s="24"/>
      <c r="F121" s="32"/>
      <c r="G121" s="32"/>
      <c r="H121" s="32"/>
      <c r="I121" s="32"/>
      <c r="J121" s="32"/>
      <c r="K121" s="32"/>
      <c r="L121" s="32"/>
      <c r="M121" s="32"/>
      <c r="N121" s="32"/>
      <c r="O121" s="6"/>
      <c r="P121" s="6"/>
      <c r="Q121" s="6"/>
      <c r="R121" s="6"/>
      <c r="S121" s="32"/>
      <c r="T121" s="32"/>
      <c r="U121" s="6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ht="15.75" customHeight="1">
      <c r="D122" s="34"/>
      <c r="E122" s="24"/>
      <c r="F122" s="32"/>
      <c r="G122" s="32"/>
      <c r="H122" s="32"/>
      <c r="I122" s="32"/>
      <c r="J122" s="32"/>
      <c r="K122" s="32"/>
      <c r="L122" s="32"/>
      <c r="M122" s="32"/>
      <c r="N122" s="32"/>
      <c r="O122" s="6"/>
      <c r="P122" s="6"/>
      <c r="Q122" s="6"/>
      <c r="R122" s="6"/>
      <c r="S122" s="32"/>
      <c r="T122" s="32"/>
      <c r="U122" s="6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ht="15.75" customHeight="1">
      <c r="D123" s="34"/>
      <c r="E123" s="24"/>
      <c r="F123" s="32"/>
      <c r="G123" s="32"/>
      <c r="H123" s="32"/>
      <c r="I123" s="32"/>
      <c r="J123" s="32"/>
      <c r="K123" s="32"/>
      <c r="L123" s="32"/>
      <c r="M123" s="32"/>
      <c r="N123" s="32"/>
      <c r="O123" s="6"/>
      <c r="P123" s="6"/>
      <c r="Q123" s="6"/>
      <c r="R123" s="6"/>
      <c r="S123" s="32"/>
      <c r="T123" s="32"/>
      <c r="U123" s="6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ht="15.75" customHeight="1">
      <c r="D124" s="34"/>
      <c r="E124" s="24"/>
      <c r="F124" s="32"/>
      <c r="G124" s="32"/>
      <c r="H124" s="32"/>
      <c r="I124" s="32"/>
      <c r="J124" s="32"/>
      <c r="K124" s="32"/>
      <c r="L124" s="32"/>
      <c r="M124" s="32"/>
      <c r="N124" s="32"/>
      <c r="O124" s="6"/>
      <c r="P124" s="6"/>
      <c r="Q124" s="6"/>
      <c r="R124" s="6"/>
      <c r="S124" s="32"/>
      <c r="T124" s="32"/>
      <c r="U124" s="6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ht="15.75" customHeight="1">
      <c r="D125" s="34"/>
      <c r="E125" s="24"/>
      <c r="F125" s="32"/>
      <c r="G125" s="32"/>
      <c r="H125" s="32"/>
      <c r="I125" s="32"/>
      <c r="J125" s="32"/>
      <c r="K125" s="32"/>
      <c r="L125" s="32"/>
      <c r="M125" s="32"/>
      <c r="N125" s="32"/>
      <c r="O125" s="6"/>
      <c r="P125" s="6"/>
      <c r="Q125" s="6"/>
      <c r="R125" s="6"/>
      <c r="S125" s="32"/>
      <c r="T125" s="32"/>
      <c r="U125" s="6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ht="15.75" customHeight="1">
      <c r="D126" s="34"/>
      <c r="E126" s="24"/>
      <c r="F126" s="32"/>
      <c r="G126" s="32"/>
      <c r="H126" s="32"/>
      <c r="I126" s="32"/>
      <c r="J126" s="32"/>
      <c r="K126" s="32"/>
      <c r="L126" s="32"/>
      <c r="M126" s="32"/>
      <c r="N126" s="32"/>
      <c r="O126" s="6"/>
      <c r="P126" s="6"/>
      <c r="Q126" s="6"/>
      <c r="R126" s="6"/>
      <c r="S126" s="32"/>
      <c r="T126" s="32"/>
      <c r="U126" s="6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ht="15.75" customHeight="1">
      <c r="D127" s="34"/>
      <c r="E127" s="24"/>
      <c r="F127" s="32"/>
      <c r="G127" s="32"/>
      <c r="H127" s="32"/>
      <c r="I127" s="32"/>
      <c r="J127" s="32"/>
      <c r="K127" s="32"/>
      <c r="L127" s="32"/>
      <c r="M127" s="32"/>
      <c r="N127" s="32"/>
      <c r="O127" s="6"/>
      <c r="P127" s="6"/>
      <c r="Q127" s="6"/>
      <c r="R127" s="6"/>
      <c r="S127" s="32"/>
      <c r="T127" s="32"/>
      <c r="U127" s="6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ht="15.75" customHeight="1">
      <c r="D128" s="34"/>
      <c r="E128" s="24"/>
      <c r="F128" s="32"/>
      <c r="G128" s="32"/>
      <c r="H128" s="32"/>
      <c r="I128" s="32"/>
      <c r="J128" s="32"/>
      <c r="K128" s="32"/>
      <c r="L128" s="32"/>
      <c r="M128" s="32"/>
      <c r="N128" s="32"/>
      <c r="O128" s="6"/>
      <c r="P128" s="6"/>
      <c r="Q128" s="6"/>
      <c r="R128" s="6"/>
      <c r="S128" s="32"/>
      <c r="T128" s="32"/>
      <c r="U128" s="6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ht="15.75" customHeight="1">
      <c r="D129" s="34"/>
      <c r="E129" s="24"/>
      <c r="F129" s="32"/>
      <c r="G129" s="32"/>
      <c r="H129" s="32"/>
      <c r="I129" s="32"/>
      <c r="J129" s="32"/>
      <c r="K129" s="32"/>
      <c r="L129" s="32"/>
      <c r="M129" s="32"/>
      <c r="N129" s="32"/>
      <c r="O129" s="6"/>
      <c r="P129" s="6"/>
      <c r="Q129" s="6"/>
      <c r="R129" s="6"/>
      <c r="S129" s="32"/>
      <c r="T129" s="32"/>
      <c r="U129" s="6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ht="15.75" customHeight="1">
      <c r="D130" s="34"/>
      <c r="E130" s="24"/>
      <c r="F130" s="32"/>
      <c r="G130" s="32"/>
      <c r="H130" s="32"/>
      <c r="I130" s="32"/>
      <c r="J130" s="32"/>
      <c r="K130" s="32"/>
      <c r="L130" s="32"/>
      <c r="M130" s="32"/>
      <c r="N130" s="32"/>
      <c r="O130" s="6"/>
      <c r="P130" s="6"/>
      <c r="Q130" s="6"/>
      <c r="R130" s="6"/>
      <c r="S130" s="32"/>
      <c r="T130" s="32"/>
      <c r="U130" s="6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ht="15.75" customHeight="1">
      <c r="D131" s="34"/>
      <c r="E131" s="24"/>
      <c r="F131" s="32"/>
      <c r="G131" s="32"/>
      <c r="H131" s="32"/>
      <c r="I131" s="32"/>
      <c r="J131" s="32"/>
      <c r="K131" s="32"/>
      <c r="L131" s="32"/>
      <c r="M131" s="32"/>
      <c r="N131" s="32"/>
      <c r="O131" s="6"/>
      <c r="P131" s="6"/>
      <c r="Q131" s="6"/>
      <c r="R131" s="6"/>
      <c r="S131" s="32"/>
      <c r="T131" s="32"/>
      <c r="U131" s="6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ht="15.75" customHeight="1">
      <c r="D132" s="34"/>
      <c r="E132" s="24"/>
      <c r="F132" s="32"/>
      <c r="G132" s="32"/>
      <c r="H132" s="32"/>
      <c r="I132" s="32"/>
      <c r="J132" s="32"/>
      <c r="K132" s="32"/>
      <c r="L132" s="32"/>
      <c r="M132" s="32"/>
      <c r="N132" s="32"/>
      <c r="O132" s="6"/>
      <c r="P132" s="6"/>
      <c r="Q132" s="6"/>
      <c r="R132" s="6"/>
      <c r="S132" s="32"/>
      <c r="T132" s="32"/>
      <c r="U132" s="6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ht="15.75" customHeight="1">
      <c r="D133" s="34"/>
      <c r="E133" s="24"/>
      <c r="F133" s="32"/>
      <c r="G133" s="32"/>
      <c r="H133" s="32"/>
      <c r="I133" s="32"/>
      <c r="J133" s="32"/>
      <c r="K133" s="32"/>
      <c r="L133" s="32"/>
      <c r="M133" s="32"/>
      <c r="N133" s="32"/>
      <c r="O133" s="6"/>
      <c r="P133" s="6"/>
      <c r="Q133" s="6"/>
      <c r="R133" s="6"/>
      <c r="S133" s="32"/>
      <c r="T133" s="32"/>
      <c r="U133" s="6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ht="15.75" customHeight="1">
      <c r="D134" s="34"/>
      <c r="E134" s="24"/>
      <c r="F134" s="32"/>
      <c r="G134" s="32"/>
      <c r="H134" s="32"/>
      <c r="I134" s="32"/>
      <c r="J134" s="32"/>
      <c r="K134" s="32"/>
      <c r="L134" s="32"/>
      <c r="M134" s="32"/>
      <c r="N134" s="32"/>
      <c r="O134" s="6"/>
      <c r="P134" s="6"/>
      <c r="Q134" s="6"/>
      <c r="R134" s="6"/>
      <c r="S134" s="32"/>
      <c r="T134" s="32"/>
      <c r="U134" s="6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ht="15.75" customHeight="1">
      <c r="D135" s="34"/>
      <c r="E135" s="24"/>
      <c r="F135" s="32"/>
      <c r="G135" s="32"/>
      <c r="H135" s="32"/>
      <c r="I135" s="32"/>
      <c r="J135" s="32"/>
      <c r="K135" s="32"/>
      <c r="L135" s="32"/>
      <c r="M135" s="32"/>
      <c r="N135" s="32"/>
      <c r="O135" s="6"/>
      <c r="P135" s="6"/>
      <c r="Q135" s="6"/>
      <c r="R135" s="6"/>
      <c r="S135" s="32"/>
      <c r="T135" s="32"/>
      <c r="U135" s="6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ht="15.75" customHeight="1">
      <c r="D136" s="34"/>
      <c r="E136" s="24"/>
      <c r="F136" s="32"/>
      <c r="G136" s="32"/>
      <c r="H136" s="32"/>
      <c r="I136" s="32"/>
      <c r="J136" s="32"/>
      <c r="K136" s="32"/>
      <c r="L136" s="32"/>
      <c r="M136" s="32"/>
      <c r="N136" s="32"/>
      <c r="O136" s="6"/>
      <c r="P136" s="6"/>
      <c r="Q136" s="6"/>
      <c r="R136" s="6"/>
      <c r="S136" s="32"/>
      <c r="T136" s="32"/>
      <c r="U136" s="6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ht="15.75" customHeight="1">
      <c r="D137" s="34"/>
      <c r="E137" s="24"/>
      <c r="F137" s="32"/>
      <c r="G137" s="32"/>
      <c r="H137" s="32"/>
      <c r="I137" s="32"/>
      <c r="J137" s="32"/>
      <c r="K137" s="32"/>
      <c r="L137" s="32"/>
      <c r="M137" s="32"/>
      <c r="N137" s="32"/>
      <c r="O137" s="6"/>
      <c r="P137" s="6"/>
      <c r="Q137" s="6"/>
      <c r="R137" s="6"/>
      <c r="S137" s="32"/>
      <c r="T137" s="32"/>
      <c r="U137" s="6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ht="15.75" customHeight="1">
      <c r="D138" s="34"/>
      <c r="E138" s="24"/>
      <c r="F138" s="32"/>
      <c r="G138" s="32"/>
      <c r="H138" s="32"/>
      <c r="I138" s="32"/>
      <c r="J138" s="32"/>
      <c r="K138" s="32"/>
      <c r="L138" s="32"/>
      <c r="M138" s="32"/>
      <c r="N138" s="32"/>
      <c r="O138" s="6"/>
      <c r="P138" s="6"/>
      <c r="Q138" s="6"/>
      <c r="R138" s="6"/>
      <c r="S138" s="32"/>
      <c r="T138" s="32"/>
      <c r="U138" s="6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ht="15.75" customHeight="1">
      <c r="D139" s="34"/>
      <c r="E139" s="24"/>
      <c r="F139" s="32"/>
      <c r="G139" s="32"/>
      <c r="H139" s="32"/>
      <c r="I139" s="32"/>
      <c r="J139" s="32"/>
      <c r="K139" s="32"/>
      <c r="L139" s="32"/>
      <c r="M139" s="32"/>
      <c r="N139" s="32"/>
      <c r="O139" s="6"/>
      <c r="P139" s="6"/>
      <c r="Q139" s="6"/>
      <c r="R139" s="6"/>
      <c r="S139" s="32"/>
      <c r="T139" s="32"/>
      <c r="U139" s="6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ht="15.75" customHeight="1">
      <c r="D140" s="34"/>
      <c r="E140" s="24"/>
      <c r="F140" s="32"/>
      <c r="G140" s="32"/>
      <c r="H140" s="32"/>
      <c r="I140" s="32"/>
      <c r="J140" s="32"/>
      <c r="K140" s="32"/>
      <c r="L140" s="32"/>
      <c r="M140" s="32"/>
      <c r="N140" s="32"/>
      <c r="O140" s="6"/>
      <c r="P140" s="6"/>
      <c r="Q140" s="6"/>
      <c r="R140" s="6"/>
      <c r="S140" s="32"/>
      <c r="T140" s="32"/>
      <c r="U140" s="6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ht="15.75" customHeight="1">
      <c r="D141" s="34"/>
      <c r="E141" s="24"/>
      <c r="F141" s="32"/>
      <c r="G141" s="32"/>
      <c r="H141" s="32"/>
      <c r="I141" s="32"/>
      <c r="J141" s="32"/>
      <c r="K141" s="32"/>
      <c r="L141" s="32"/>
      <c r="M141" s="32"/>
      <c r="N141" s="32"/>
      <c r="O141" s="6"/>
      <c r="P141" s="6"/>
      <c r="Q141" s="6"/>
      <c r="R141" s="6"/>
      <c r="S141" s="32"/>
      <c r="T141" s="32"/>
      <c r="U141" s="6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ht="15.75" customHeight="1">
      <c r="D142" s="34"/>
      <c r="E142" s="24"/>
      <c r="F142" s="32"/>
      <c r="G142" s="32"/>
      <c r="H142" s="32"/>
      <c r="I142" s="32"/>
      <c r="J142" s="32"/>
      <c r="K142" s="32"/>
      <c r="L142" s="32"/>
      <c r="M142" s="32"/>
      <c r="N142" s="32"/>
      <c r="O142" s="6"/>
      <c r="P142" s="6"/>
      <c r="Q142" s="6"/>
      <c r="R142" s="6"/>
      <c r="S142" s="32"/>
      <c r="T142" s="32"/>
      <c r="U142" s="6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ht="15.75" customHeight="1">
      <c r="D143" s="34"/>
      <c r="E143" s="24"/>
      <c r="F143" s="32"/>
      <c r="G143" s="32"/>
      <c r="H143" s="32"/>
      <c r="I143" s="32"/>
      <c r="J143" s="32"/>
      <c r="K143" s="32"/>
      <c r="L143" s="32"/>
      <c r="M143" s="32"/>
      <c r="N143" s="32"/>
      <c r="O143" s="6"/>
      <c r="P143" s="6"/>
      <c r="Q143" s="6"/>
      <c r="R143" s="6"/>
      <c r="S143" s="32"/>
      <c r="T143" s="32"/>
      <c r="U143" s="6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ht="15.75" customHeight="1">
      <c r="D144" s="34"/>
      <c r="E144" s="24"/>
      <c r="F144" s="32"/>
      <c r="G144" s="32"/>
      <c r="H144" s="32"/>
      <c r="I144" s="32"/>
      <c r="J144" s="32"/>
      <c r="K144" s="32"/>
      <c r="L144" s="32"/>
      <c r="M144" s="32"/>
      <c r="N144" s="32"/>
      <c r="O144" s="6"/>
      <c r="P144" s="6"/>
      <c r="Q144" s="6"/>
      <c r="R144" s="6"/>
      <c r="S144" s="32"/>
      <c r="T144" s="32"/>
      <c r="U144" s="6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ht="15.75" customHeight="1">
      <c r="D145" s="34"/>
      <c r="E145" s="24"/>
      <c r="F145" s="32"/>
      <c r="G145" s="32"/>
      <c r="H145" s="32"/>
      <c r="I145" s="32"/>
      <c r="J145" s="32"/>
      <c r="K145" s="32"/>
      <c r="L145" s="32"/>
      <c r="M145" s="32"/>
      <c r="N145" s="32"/>
      <c r="O145" s="6"/>
      <c r="P145" s="6"/>
      <c r="Q145" s="6"/>
      <c r="R145" s="6"/>
      <c r="S145" s="32"/>
      <c r="T145" s="32"/>
      <c r="U145" s="6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ht="15.75" customHeight="1">
      <c r="D146" s="34"/>
      <c r="E146" s="24"/>
      <c r="F146" s="32"/>
      <c r="G146" s="32"/>
      <c r="H146" s="32"/>
      <c r="I146" s="32"/>
      <c r="J146" s="32"/>
      <c r="K146" s="32"/>
      <c r="L146" s="32"/>
      <c r="M146" s="32"/>
      <c r="N146" s="32"/>
      <c r="O146" s="6"/>
      <c r="P146" s="6"/>
      <c r="Q146" s="6"/>
      <c r="R146" s="6"/>
      <c r="S146" s="32"/>
      <c r="T146" s="32"/>
      <c r="U146" s="6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ht="15.75" customHeight="1">
      <c r="D147" s="34"/>
      <c r="E147" s="24"/>
      <c r="F147" s="32"/>
      <c r="G147" s="32"/>
      <c r="H147" s="32"/>
      <c r="I147" s="32"/>
      <c r="J147" s="32"/>
      <c r="K147" s="32"/>
      <c r="L147" s="32"/>
      <c r="M147" s="32"/>
      <c r="N147" s="32"/>
      <c r="O147" s="6"/>
      <c r="P147" s="6"/>
      <c r="Q147" s="6"/>
      <c r="R147" s="6"/>
      <c r="S147" s="32"/>
      <c r="T147" s="32"/>
      <c r="U147" s="6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ht="15.75" customHeight="1">
      <c r="D148" s="34"/>
      <c r="E148" s="24"/>
      <c r="F148" s="32"/>
      <c r="G148" s="32"/>
      <c r="H148" s="32"/>
      <c r="I148" s="32"/>
      <c r="J148" s="32"/>
      <c r="K148" s="32"/>
      <c r="L148" s="32"/>
      <c r="M148" s="32"/>
      <c r="N148" s="32"/>
      <c r="O148" s="6"/>
      <c r="P148" s="6"/>
      <c r="Q148" s="6"/>
      <c r="R148" s="6"/>
      <c r="S148" s="32"/>
      <c r="T148" s="32"/>
      <c r="U148" s="6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ht="15.75" customHeight="1">
      <c r="D149" s="34"/>
      <c r="E149" s="24"/>
      <c r="F149" s="32"/>
      <c r="G149" s="32"/>
      <c r="H149" s="32"/>
      <c r="I149" s="32"/>
      <c r="J149" s="32"/>
      <c r="K149" s="32"/>
      <c r="L149" s="32"/>
      <c r="M149" s="32"/>
      <c r="N149" s="32"/>
      <c r="O149" s="6"/>
      <c r="P149" s="6"/>
      <c r="Q149" s="6"/>
      <c r="R149" s="6"/>
      <c r="S149" s="32"/>
      <c r="T149" s="32"/>
      <c r="U149" s="6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ht="15.75" customHeight="1">
      <c r="D150" s="34"/>
      <c r="E150" s="24"/>
      <c r="F150" s="32"/>
      <c r="G150" s="32"/>
      <c r="H150" s="32"/>
      <c r="I150" s="32"/>
      <c r="J150" s="32"/>
      <c r="K150" s="32"/>
      <c r="L150" s="32"/>
      <c r="M150" s="32"/>
      <c r="N150" s="32"/>
      <c r="O150" s="6"/>
      <c r="P150" s="6"/>
      <c r="Q150" s="6"/>
      <c r="R150" s="6"/>
      <c r="S150" s="32"/>
      <c r="T150" s="32"/>
      <c r="U150" s="6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ht="15.75" customHeight="1">
      <c r="D151" s="34"/>
      <c r="E151" s="24"/>
      <c r="F151" s="32"/>
      <c r="G151" s="32"/>
      <c r="H151" s="32"/>
      <c r="I151" s="32"/>
      <c r="J151" s="32"/>
      <c r="K151" s="32"/>
      <c r="L151" s="32"/>
      <c r="M151" s="32"/>
      <c r="N151" s="32"/>
      <c r="O151" s="6"/>
      <c r="P151" s="6"/>
      <c r="Q151" s="6"/>
      <c r="R151" s="6"/>
      <c r="S151" s="32"/>
      <c r="T151" s="32"/>
      <c r="U151" s="6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ht="15.75" customHeight="1">
      <c r="D152" s="34"/>
      <c r="E152" s="24"/>
      <c r="F152" s="32"/>
      <c r="G152" s="32"/>
      <c r="H152" s="32"/>
      <c r="I152" s="32"/>
      <c r="J152" s="32"/>
      <c r="K152" s="32"/>
      <c r="L152" s="32"/>
      <c r="M152" s="32"/>
      <c r="N152" s="32"/>
      <c r="O152" s="6"/>
      <c r="P152" s="6"/>
      <c r="Q152" s="6"/>
      <c r="R152" s="6"/>
      <c r="S152" s="32"/>
      <c r="T152" s="32"/>
      <c r="U152" s="6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ht="15.75" customHeight="1">
      <c r="D153" s="34"/>
      <c r="E153" s="24"/>
      <c r="F153" s="32"/>
      <c r="G153" s="32"/>
      <c r="H153" s="32"/>
      <c r="I153" s="32"/>
      <c r="J153" s="32"/>
      <c r="K153" s="32"/>
      <c r="L153" s="32"/>
      <c r="M153" s="32"/>
      <c r="N153" s="32"/>
      <c r="O153" s="6"/>
      <c r="P153" s="6"/>
      <c r="Q153" s="6"/>
      <c r="R153" s="6"/>
      <c r="S153" s="32"/>
      <c r="T153" s="32"/>
      <c r="U153" s="6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ht="15.75" customHeight="1">
      <c r="D154" s="34"/>
      <c r="E154" s="24"/>
      <c r="F154" s="32"/>
      <c r="G154" s="32"/>
      <c r="H154" s="32"/>
      <c r="I154" s="32"/>
      <c r="J154" s="32"/>
      <c r="K154" s="32"/>
      <c r="L154" s="32"/>
      <c r="M154" s="32"/>
      <c r="N154" s="32"/>
      <c r="O154" s="6"/>
      <c r="P154" s="6"/>
      <c r="Q154" s="6"/>
      <c r="R154" s="6"/>
      <c r="S154" s="32"/>
      <c r="T154" s="32"/>
      <c r="U154" s="6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ht="15.75" customHeight="1">
      <c r="D155" s="34"/>
      <c r="E155" s="24"/>
      <c r="F155" s="32"/>
      <c r="G155" s="32"/>
      <c r="H155" s="32"/>
      <c r="I155" s="32"/>
      <c r="J155" s="32"/>
      <c r="K155" s="32"/>
      <c r="L155" s="32"/>
      <c r="M155" s="32"/>
      <c r="N155" s="32"/>
      <c r="O155" s="6"/>
      <c r="P155" s="6"/>
      <c r="Q155" s="6"/>
      <c r="R155" s="6"/>
      <c r="S155" s="32"/>
      <c r="T155" s="32"/>
      <c r="U155" s="6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ht="15.75" customHeight="1">
      <c r="D156" s="34"/>
      <c r="E156" s="24"/>
      <c r="F156" s="32"/>
      <c r="G156" s="32"/>
      <c r="H156" s="32"/>
      <c r="I156" s="32"/>
      <c r="J156" s="32"/>
      <c r="K156" s="32"/>
      <c r="L156" s="32"/>
      <c r="M156" s="32"/>
      <c r="N156" s="32"/>
      <c r="O156" s="6"/>
      <c r="P156" s="6"/>
      <c r="Q156" s="6"/>
      <c r="R156" s="6"/>
      <c r="S156" s="32"/>
      <c r="T156" s="32"/>
      <c r="U156" s="6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ht="15.75" customHeight="1">
      <c r="D157" s="34"/>
      <c r="E157" s="24"/>
      <c r="F157" s="32"/>
      <c r="G157" s="32"/>
      <c r="H157" s="32"/>
      <c r="I157" s="32"/>
      <c r="J157" s="32"/>
      <c r="K157" s="32"/>
      <c r="L157" s="32"/>
      <c r="M157" s="32"/>
      <c r="N157" s="32"/>
      <c r="O157" s="6"/>
      <c r="P157" s="6"/>
      <c r="Q157" s="6"/>
      <c r="R157" s="6"/>
      <c r="S157" s="32"/>
      <c r="T157" s="32"/>
      <c r="U157" s="6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ht="15.75" customHeight="1">
      <c r="D158" s="34"/>
      <c r="E158" s="24"/>
      <c r="F158" s="32"/>
      <c r="G158" s="32"/>
      <c r="H158" s="32"/>
      <c r="I158" s="32"/>
      <c r="J158" s="32"/>
      <c r="K158" s="32"/>
      <c r="L158" s="32"/>
      <c r="M158" s="32"/>
      <c r="N158" s="32"/>
      <c r="O158" s="6"/>
      <c r="P158" s="6"/>
      <c r="Q158" s="6"/>
      <c r="R158" s="6"/>
      <c r="S158" s="32"/>
      <c r="T158" s="32"/>
      <c r="U158" s="6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ht="15.75" customHeight="1">
      <c r="D159" s="34"/>
      <c r="E159" s="24"/>
      <c r="F159" s="32"/>
      <c r="G159" s="32"/>
      <c r="H159" s="32"/>
      <c r="I159" s="32"/>
      <c r="J159" s="32"/>
      <c r="K159" s="32"/>
      <c r="L159" s="32"/>
      <c r="M159" s="32"/>
      <c r="N159" s="32"/>
      <c r="O159" s="6"/>
      <c r="P159" s="6"/>
      <c r="Q159" s="6"/>
      <c r="R159" s="6"/>
      <c r="S159" s="32"/>
      <c r="T159" s="32"/>
      <c r="U159" s="6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ht="15.75" customHeight="1">
      <c r="D160" s="34"/>
      <c r="E160" s="24"/>
      <c r="F160" s="32"/>
      <c r="G160" s="32"/>
      <c r="H160" s="32"/>
      <c r="I160" s="32"/>
      <c r="J160" s="32"/>
      <c r="K160" s="32"/>
      <c r="L160" s="32"/>
      <c r="M160" s="32"/>
      <c r="N160" s="32"/>
      <c r="O160" s="6"/>
      <c r="P160" s="6"/>
      <c r="Q160" s="6"/>
      <c r="R160" s="6"/>
      <c r="S160" s="32"/>
      <c r="T160" s="32"/>
      <c r="U160" s="6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ht="15.75" customHeight="1">
      <c r="D161" s="34"/>
      <c r="E161" s="24"/>
      <c r="F161" s="32"/>
      <c r="G161" s="32"/>
      <c r="H161" s="32"/>
      <c r="I161" s="32"/>
      <c r="J161" s="32"/>
      <c r="K161" s="32"/>
      <c r="L161" s="32"/>
      <c r="M161" s="32"/>
      <c r="N161" s="32"/>
      <c r="O161" s="6"/>
      <c r="P161" s="6"/>
      <c r="Q161" s="6"/>
      <c r="R161" s="6"/>
      <c r="S161" s="32"/>
      <c r="T161" s="32"/>
      <c r="U161" s="6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ht="15.75" customHeight="1">
      <c r="D162" s="34"/>
      <c r="E162" s="24"/>
      <c r="F162" s="32"/>
      <c r="G162" s="32"/>
      <c r="H162" s="32"/>
      <c r="I162" s="32"/>
      <c r="J162" s="32"/>
      <c r="K162" s="32"/>
      <c r="L162" s="32"/>
      <c r="M162" s="32"/>
      <c r="N162" s="32"/>
      <c r="O162" s="6"/>
      <c r="P162" s="6"/>
      <c r="Q162" s="6"/>
      <c r="R162" s="6"/>
      <c r="S162" s="32"/>
      <c r="T162" s="32"/>
      <c r="U162" s="6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ht="15.75" customHeight="1">
      <c r="D163" s="34"/>
      <c r="E163" s="24"/>
      <c r="F163" s="32"/>
      <c r="G163" s="32"/>
      <c r="H163" s="32"/>
      <c r="I163" s="32"/>
      <c r="J163" s="32"/>
      <c r="K163" s="32"/>
      <c r="L163" s="32"/>
      <c r="M163" s="32"/>
      <c r="N163" s="32"/>
      <c r="O163" s="6"/>
      <c r="P163" s="6"/>
      <c r="Q163" s="6"/>
      <c r="R163" s="6"/>
      <c r="S163" s="32"/>
      <c r="T163" s="32"/>
      <c r="U163" s="6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ht="15.75" customHeight="1">
      <c r="D164" s="34"/>
      <c r="E164" s="24"/>
      <c r="F164" s="32"/>
      <c r="G164" s="32"/>
      <c r="H164" s="32"/>
      <c r="I164" s="32"/>
      <c r="J164" s="32"/>
      <c r="K164" s="32"/>
      <c r="L164" s="32"/>
      <c r="M164" s="32"/>
      <c r="N164" s="32"/>
      <c r="O164" s="6"/>
      <c r="P164" s="6"/>
      <c r="Q164" s="6"/>
      <c r="R164" s="6"/>
      <c r="S164" s="32"/>
      <c r="T164" s="32"/>
      <c r="U164" s="6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ht="15.75" customHeight="1">
      <c r="D165" s="34"/>
      <c r="E165" s="24"/>
      <c r="F165" s="32"/>
      <c r="G165" s="32"/>
      <c r="H165" s="32"/>
      <c r="I165" s="32"/>
      <c r="J165" s="32"/>
      <c r="K165" s="32"/>
      <c r="L165" s="32"/>
      <c r="M165" s="32"/>
      <c r="N165" s="32"/>
      <c r="O165" s="6"/>
      <c r="P165" s="6"/>
      <c r="Q165" s="6"/>
      <c r="R165" s="6"/>
      <c r="S165" s="32"/>
      <c r="T165" s="32"/>
      <c r="U165" s="6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ht="15.75" customHeight="1">
      <c r="D166" s="34"/>
      <c r="E166" s="24"/>
      <c r="F166" s="32"/>
      <c r="G166" s="32"/>
      <c r="H166" s="32"/>
      <c r="I166" s="32"/>
      <c r="J166" s="32"/>
      <c r="K166" s="32"/>
      <c r="L166" s="32"/>
      <c r="M166" s="32"/>
      <c r="N166" s="32"/>
      <c r="O166" s="6"/>
      <c r="P166" s="6"/>
      <c r="Q166" s="6"/>
      <c r="R166" s="6"/>
      <c r="S166" s="32"/>
      <c r="T166" s="32"/>
      <c r="U166" s="6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ht="15.75" customHeight="1">
      <c r="D167" s="34"/>
      <c r="E167" s="24"/>
      <c r="F167" s="32"/>
      <c r="G167" s="32"/>
      <c r="H167" s="32"/>
      <c r="I167" s="32"/>
      <c r="J167" s="32"/>
      <c r="K167" s="32"/>
      <c r="L167" s="32"/>
      <c r="M167" s="32"/>
      <c r="N167" s="32"/>
      <c r="O167" s="6"/>
      <c r="P167" s="6"/>
      <c r="Q167" s="6"/>
      <c r="R167" s="6"/>
      <c r="S167" s="32"/>
      <c r="T167" s="32"/>
      <c r="U167" s="6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ht="15.75" customHeight="1">
      <c r="D168" s="34"/>
      <c r="E168" s="24"/>
      <c r="F168" s="32"/>
      <c r="G168" s="32"/>
      <c r="H168" s="32"/>
      <c r="I168" s="32"/>
      <c r="J168" s="32"/>
      <c r="K168" s="32"/>
      <c r="L168" s="32"/>
      <c r="M168" s="32"/>
      <c r="N168" s="32"/>
      <c r="O168" s="6"/>
      <c r="P168" s="6"/>
      <c r="Q168" s="6"/>
      <c r="R168" s="6"/>
      <c r="S168" s="32"/>
      <c r="T168" s="32"/>
      <c r="U168" s="6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ht="15.75" customHeight="1">
      <c r="D169" s="34"/>
      <c r="E169" s="24"/>
      <c r="F169" s="32"/>
      <c r="G169" s="32"/>
      <c r="H169" s="32"/>
      <c r="I169" s="32"/>
      <c r="J169" s="32"/>
      <c r="K169" s="32"/>
      <c r="L169" s="32"/>
      <c r="M169" s="32"/>
      <c r="N169" s="32"/>
      <c r="O169" s="6"/>
      <c r="P169" s="6"/>
      <c r="Q169" s="6"/>
      <c r="R169" s="6"/>
      <c r="S169" s="32"/>
      <c r="T169" s="32"/>
      <c r="U169" s="6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ht="15.75" customHeight="1">
      <c r="D170" s="34"/>
      <c r="E170" s="24"/>
      <c r="F170" s="32"/>
      <c r="G170" s="32"/>
      <c r="H170" s="32"/>
      <c r="I170" s="32"/>
      <c r="J170" s="32"/>
      <c r="K170" s="32"/>
      <c r="L170" s="32"/>
      <c r="M170" s="32"/>
      <c r="N170" s="32"/>
      <c r="O170" s="6"/>
      <c r="P170" s="6"/>
      <c r="Q170" s="6"/>
      <c r="R170" s="6"/>
      <c r="S170" s="32"/>
      <c r="T170" s="32"/>
      <c r="U170" s="6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ht="15.75" customHeight="1">
      <c r="D171" s="34"/>
      <c r="E171" s="24"/>
      <c r="F171" s="32"/>
      <c r="G171" s="32"/>
      <c r="H171" s="32"/>
      <c r="I171" s="32"/>
      <c r="J171" s="32"/>
      <c r="K171" s="32"/>
      <c r="L171" s="32"/>
      <c r="M171" s="32"/>
      <c r="N171" s="32"/>
      <c r="O171" s="6"/>
      <c r="P171" s="6"/>
      <c r="Q171" s="6"/>
      <c r="R171" s="6"/>
      <c r="S171" s="32"/>
      <c r="T171" s="32"/>
      <c r="U171" s="6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ht="15.75" customHeight="1">
      <c r="D172" s="34"/>
      <c r="E172" s="24"/>
      <c r="F172" s="32"/>
      <c r="G172" s="32"/>
      <c r="H172" s="32"/>
      <c r="I172" s="32"/>
      <c r="J172" s="32"/>
      <c r="K172" s="32"/>
      <c r="L172" s="32"/>
      <c r="M172" s="32"/>
      <c r="N172" s="32"/>
      <c r="O172" s="6"/>
      <c r="P172" s="6"/>
      <c r="Q172" s="6"/>
      <c r="R172" s="6"/>
      <c r="S172" s="32"/>
      <c r="T172" s="32"/>
      <c r="U172" s="6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ht="15.75" customHeight="1">
      <c r="D173" s="34"/>
      <c r="E173" s="24"/>
      <c r="F173" s="32"/>
      <c r="G173" s="32"/>
      <c r="H173" s="32"/>
      <c r="I173" s="32"/>
      <c r="J173" s="32"/>
      <c r="K173" s="32"/>
      <c r="L173" s="32"/>
      <c r="M173" s="32"/>
      <c r="N173" s="32"/>
      <c r="O173" s="6"/>
      <c r="P173" s="6"/>
      <c r="Q173" s="6"/>
      <c r="R173" s="6"/>
      <c r="S173" s="32"/>
      <c r="T173" s="32"/>
      <c r="U173" s="6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ht="15.75" customHeight="1">
      <c r="D174" s="34"/>
      <c r="E174" s="24"/>
      <c r="F174" s="32"/>
      <c r="G174" s="32"/>
      <c r="H174" s="32"/>
      <c r="I174" s="32"/>
      <c r="J174" s="32"/>
      <c r="K174" s="32"/>
      <c r="L174" s="32"/>
      <c r="M174" s="32"/>
      <c r="N174" s="32"/>
      <c r="O174" s="6"/>
      <c r="P174" s="6"/>
      <c r="Q174" s="6"/>
      <c r="R174" s="6"/>
      <c r="S174" s="32"/>
      <c r="T174" s="32"/>
      <c r="U174" s="6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ht="15.75" customHeight="1">
      <c r="D175" s="34"/>
      <c r="E175" s="24"/>
      <c r="F175" s="32"/>
      <c r="G175" s="32"/>
      <c r="H175" s="32"/>
      <c r="I175" s="32"/>
      <c r="J175" s="32"/>
      <c r="K175" s="32"/>
      <c r="L175" s="32"/>
      <c r="M175" s="32"/>
      <c r="N175" s="32"/>
      <c r="O175" s="6"/>
      <c r="P175" s="6"/>
      <c r="Q175" s="6"/>
      <c r="R175" s="6"/>
      <c r="S175" s="32"/>
      <c r="T175" s="32"/>
      <c r="U175" s="6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ht="15.75" customHeight="1">
      <c r="D176" s="34"/>
      <c r="E176" s="24"/>
      <c r="F176" s="32"/>
      <c r="G176" s="32"/>
      <c r="H176" s="32"/>
      <c r="I176" s="32"/>
      <c r="J176" s="32"/>
      <c r="K176" s="32"/>
      <c r="L176" s="32"/>
      <c r="M176" s="32"/>
      <c r="N176" s="32"/>
      <c r="O176" s="6"/>
      <c r="P176" s="6"/>
      <c r="Q176" s="6"/>
      <c r="R176" s="6"/>
      <c r="S176" s="32"/>
      <c r="T176" s="32"/>
      <c r="U176" s="6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ht="15.75" customHeight="1">
      <c r="D177" s="34"/>
      <c r="E177" s="24"/>
      <c r="F177" s="32"/>
      <c r="G177" s="32"/>
      <c r="H177" s="32"/>
      <c r="I177" s="32"/>
      <c r="J177" s="32"/>
      <c r="K177" s="32"/>
      <c r="L177" s="32"/>
      <c r="M177" s="32"/>
      <c r="N177" s="32"/>
      <c r="O177" s="6"/>
      <c r="P177" s="6"/>
      <c r="Q177" s="6"/>
      <c r="R177" s="6"/>
      <c r="S177" s="32"/>
      <c r="T177" s="32"/>
      <c r="U177" s="6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ht="15.75" customHeight="1">
      <c r="D178" s="34"/>
      <c r="E178" s="24"/>
      <c r="F178" s="32"/>
      <c r="G178" s="32"/>
      <c r="H178" s="32"/>
      <c r="I178" s="32"/>
      <c r="J178" s="32"/>
      <c r="K178" s="32"/>
      <c r="L178" s="32"/>
      <c r="M178" s="32"/>
      <c r="N178" s="32"/>
      <c r="O178" s="6"/>
      <c r="P178" s="6"/>
      <c r="Q178" s="6"/>
      <c r="R178" s="6"/>
      <c r="S178" s="32"/>
      <c r="T178" s="32"/>
      <c r="U178" s="6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ht="15.75" customHeight="1">
      <c r="D179" s="34"/>
      <c r="E179" s="24"/>
      <c r="F179" s="32"/>
      <c r="G179" s="32"/>
      <c r="H179" s="32"/>
      <c r="I179" s="32"/>
      <c r="J179" s="32"/>
      <c r="K179" s="32"/>
      <c r="L179" s="32"/>
      <c r="M179" s="32"/>
      <c r="N179" s="32"/>
      <c r="O179" s="6"/>
      <c r="P179" s="6"/>
      <c r="Q179" s="6"/>
      <c r="R179" s="6"/>
      <c r="S179" s="32"/>
      <c r="T179" s="32"/>
      <c r="U179" s="6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ht="15.75" customHeight="1">
      <c r="D180" s="34"/>
      <c r="E180" s="24"/>
      <c r="F180" s="32"/>
      <c r="G180" s="32"/>
      <c r="H180" s="32"/>
      <c r="I180" s="32"/>
      <c r="J180" s="32"/>
      <c r="K180" s="32"/>
      <c r="L180" s="32"/>
      <c r="M180" s="32"/>
      <c r="N180" s="32"/>
      <c r="O180" s="6"/>
      <c r="P180" s="6"/>
      <c r="Q180" s="6"/>
      <c r="R180" s="6"/>
      <c r="S180" s="32"/>
      <c r="T180" s="32"/>
      <c r="U180" s="6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ht="15.75" customHeight="1">
      <c r="D181" s="34"/>
      <c r="E181" s="24"/>
      <c r="F181" s="32"/>
      <c r="G181" s="32"/>
      <c r="H181" s="32"/>
      <c r="I181" s="32"/>
      <c r="J181" s="32"/>
      <c r="K181" s="32"/>
      <c r="L181" s="32"/>
      <c r="M181" s="32"/>
      <c r="N181" s="32"/>
      <c r="O181" s="6"/>
      <c r="P181" s="6"/>
      <c r="Q181" s="6"/>
      <c r="R181" s="6"/>
      <c r="S181" s="32"/>
      <c r="T181" s="32"/>
      <c r="U181" s="6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ht="15.75" customHeight="1">
      <c r="D182" s="34"/>
      <c r="E182" s="24"/>
      <c r="F182" s="32"/>
      <c r="G182" s="32"/>
      <c r="H182" s="32"/>
      <c r="I182" s="32"/>
      <c r="J182" s="32"/>
      <c r="K182" s="32"/>
      <c r="L182" s="32"/>
      <c r="M182" s="32"/>
      <c r="N182" s="32"/>
      <c r="O182" s="6"/>
      <c r="P182" s="6"/>
      <c r="Q182" s="6"/>
      <c r="R182" s="6"/>
      <c r="S182" s="32"/>
      <c r="T182" s="32"/>
      <c r="U182" s="6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ht="15.75" customHeight="1">
      <c r="D183" s="34"/>
      <c r="E183" s="24"/>
      <c r="F183" s="32"/>
      <c r="G183" s="32"/>
      <c r="H183" s="32"/>
      <c r="I183" s="32"/>
      <c r="J183" s="32"/>
      <c r="K183" s="32"/>
      <c r="L183" s="32"/>
      <c r="M183" s="32"/>
      <c r="N183" s="32"/>
      <c r="O183" s="6"/>
      <c r="P183" s="6"/>
      <c r="Q183" s="6"/>
      <c r="R183" s="6"/>
      <c r="S183" s="32"/>
      <c r="T183" s="32"/>
      <c r="U183" s="6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ht="15.75" customHeight="1">
      <c r="D184" s="34"/>
      <c r="E184" s="24"/>
      <c r="F184" s="32"/>
      <c r="G184" s="32"/>
      <c r="H184" s="32"/>
      <c r="I184" s="32"/>
      <c r="J184" s="32"/>
      <c r="K184" s="32"/>
      <c r="L184" s="32"/>
      <c r="M184" s="32"/>
      <c r="N184" s="32"/>
      <c r="O184" s="6"/>
      <c r="P184" s="6"/>
      <c r="Q184" s="6"/>
      <c r="R184" s="6"/>
      <c r="S184" s="32"/>
      <c r="T184" s="32"/>
      <c r="U184" s="6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ht="15.75" customHeight="1">
      <c r="D185" s="34"/>
      <c r="E185" s="24"/>
      <c r="F185" s="32"/>
      <c r="G185" s="32"/>
      <c r="H185" s="32"/>
      <c r="I185" s="32"/>
      <c r="J185" s="32"/>
      <c r="K185" s="32"/>
      <c r="L185" s="32"/>
      <c r="M185" s="32"/>
      <c r="N185" s="32"/>
      <c r="O185" s="6"/>
      <c r="P185" s="6"/>
      <c r="Q185" s="6"/>
      <c r="R185" s="6"/>
      <c r="S185" s="32"/>
      <c r="T185" s="32"/>
      <c r="U185" s="6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ht="15.75" customHeight="1">
      <c r="D186" s="34"/>
      <c r="E186" s="24"/>
      <c r="F186" s="32"/>
      <c r="G186" s="32"/>
      <c r="H186" s="32"/>
      <c r="I186" s="32"/>
      <c r="J186" s="32"/>
      <c r="K186" s="32"/>
      <c r="L186" s="32"/>
      <c r="M186" s="32"/>
      <c r="N186" s="32"/>
      <c r="O186" s="6"/>
      <c r="P186" s="6"/>
      <c r="Q186" s="6"/>
      <c r="R186" s="6"/>
      <c r="S186" s="32"/>
      <c r="T186" s="32"/>
      <c r="U186" s="6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ht="15.75" customHeight="1">
      <c r="D187" s="34"/>
      <c r="E187" s="24"/>
      <c r="F187" s="32"/>
      <c r="G187" s="32"/>
      <c r="H187" s="32"/>
      <c r="I187" s="32"/>
      <c r="J187" s="32"/>
      <c r="K187" s="32"/>
      <c r="L187" s="32"/>
      <c r="M187" s="32"/>
      <c r="N187" s="32"/>
      <c r="O187" s="6"/>
      <c r="P187" s="6"/>
      <c r="Q187" s="6"/>
      <c r="R187" s="6"/>
      <c r="S187" s="32"/>
      <c r="T187" s="32"/>
      <c r="U187" s="6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ht="15.75" customHeight="1">
      <c r="D188" s="34"/>
      <c r="E188" s="24"/>
      <c r="F188" s="32"/>
      <c r="G188" s="32"/>
      <c r="H188" s="32"/>
      <c r="I188" s="32"/>
      <c r="J188" s="32"/>
      <c r="K188" s="32"/>
      <c r="L188" s="32"/>
      <c r="M188" s="32"/>
      <c r="N188" s="32"/>
      <c r="O188" s="6"/>
      <c r="P188" s="6"/>
      <c r="Q188" s="6"/>
      <c r="R188" s="6"/>
      <c r="S188" s="32"/>
      <c r="T188" s="32"/>
      <c r="U188" s="6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ht="15.75" customHeight="1">
      <c r="D189" s="34"/>
      <c r="E189" s="24"/>
      <c r="F189" s="32"/>
      <c r="G189" s="32"/>
      <c r="H189" s="32"/>
      <c r="I189" s="32"/>
      <c r="J189" s="32"/>
      <c r="K189" s="32"/>
      <c r="L189" s="32"/>
      <c r="M189" s="32"/>
      <c r="N189" s="32"/>
      <c r="O189" s="6"/>
      <c r="P189" s="6"/>
      <c r="Q189" s="6"/>
      <c r="R189" s="6"/>
      <c r="S189" s="32"/>
      <c r="T189" s="32"/>
      <c r="U189" s="6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ht="15.75" customHeight="1">
      <c r="D190" s="34"/>
      <c r="E190" s="24"/>
      <c r="F190" s="32"/>
      <c r="G190" s="32"/>
      <c r="H190" s="32"/>
      <c r="I190" s="32"/>
      <c r="J190" s="32"/>
      <c r="K190" s="32"/>
      <c r="L190" s="32"/>
      <c r="M190" s="32"/>
      <c r="N190" s="32"/>
      <c r="O190" s="6"/>
      <c r="P190" s="6"/>
      <c r="Q190" s="6"/>
      <c r="R190" s="6"/>
      <c r="S190" s="32"/>
      <c r="T190" s="32"/>
      <c r="U190" s="6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ht="15.75" customHeight="1">
      <c r="D191" s="34"/>
      <c r="E191" s="24"/>
      <c r="F191" s="32"/>
      <c r="G191" s="32"/>
      <c r="H191" s="32"/>
      <c r="I191" s="32"/>
      <c r="J191" s="32"/>
      <c r="K191" s="32"/>
      <c r="L191" s="32"/>
      <c r="M191" s="32"/>
      <c r="N191" s="32"/>
      <c r="O191" s="6"/>
      <c r="P191" s="6"/>
      <c r="Q191" s="6"/>
      <c r="R191" s="6"/>
      <c r="S191" s="32"/>
      <c r="T191" s="32"/>
      <c r="U191" s="6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ht="15.75" customHeight="1">
      <c r="D192" s="34"/>
      <c r="E192" s="24"/>
      <c r="F192" s="32"/>
      <c r="G192" s="32"/>
      <c r="H192" s="32"/>
      <c r="I192" s="32"/>
      <c r="J192" s="32"/>
      <c r="K192" s="32"/>
      <c r="L192" s="32"/>
      <c r="M192" s="32"/>
      <c r="N192" s="32"/>
      <c r="O192" s="6"/>
      <c r="P192" s="6"/>
      <c r="Q192" s="6"/>
      <c r="R192" s="6"/>
      <c r="S192" s="32"/>
      <c r="T192" s="32"/>
      <c r="U192" s="6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ht="15.75" customHeight="1">
      <c r="D193" s="34"/>
      <c r="E193" s="24"/>
      <c r="F193" s="32"/>
      <c r="G193" s="32"/>
      <c r="H193" s="32"/>
      <c r="I193" s="32"/>
      <c r="J193" s="32"/>
      <c r="K193" s="32"/>
      <c r="L193" s="32"/>
      <c r="M193" s="32"/>
      <c r="N193" s="32"/>
      <c r="O193" s="6"/>
      <c r="P193" s="6"/>
      <c r="Q193" s="6"/>
      <c r="R193" s="6"/>
      <c r="S193" s="32"/>
      <c r="T193" s="32"/>
      <c r="U193" s="6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ht="15.75" customHeight="1">
      <c r="D194" s="34"/>
      <c r="E194" s="24"/>
      <c r="F194" s="32"/>
      <c r="G194" s="32"/>
      <c r="H194" s="32"/>
      <c r="I194" s="32"/>
      <c r="J194" s="32"/>
      <c r="K194" s="32"/>
      <c r="L194" s="32"/>
      <c r="M194" s="32"/>
      <c r="N194" s="32"/>
      <c r="O194" s="6"/>
      <c r="P194" s="6"/>
      <c r="Q194" s="6"/>
      <c r="R194" s="6"/>
      <c r="S194" s="32"/>
      <c r="T194" s="32"/>
      <c r="U194" s="6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ht="15.75" customHeight="1">
      <c r="D195" s="34"/>
      <c r="E195" s="24"/>
      <c r="F195" s="32"/>
      <c r="G195" s="32"/>
      <c r="H195" s="32"/>
      <c r="I195" s="32"/>
      <c r="J195" s="32"/>
      <c r="K195" s="32"/>
      <c r="L195" s="32"/>
      <c r="M195" s="32"/>
      <c r="N195" s="32"/>
      <c r="O195" s="6"/>
      <c r="P195" s="6"/>
      <c r="Q195" s="6"/>
      <c r="R195" s="6"/>
      <c r="S195" s="32"/>
      <c r="T195" s="32"/>
      <c r="U195" s="6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ht="15.75" customHeight="1">
      <c r="D196" s="34"/>
      <c r="E196" s="24"/>
      <c r="F196" s="32"/>
      <c r="G196" s="32"/>
      <c r="H196" s="32"/>
      <c r="I196" s="32"/>
      <c r="J196" s="32"/>
      <c r="K196" s="32"/>
      <c r="L196" s="32"/>
      <c r="M196" s="32"/>
      <c r="N196" s="32"/>
      <c r="O196" s="6"/>
      <c r="P196" s="6"/>
      <c r="Q196" s="6"/>
      <c r="R196" s="6"/>
      <c r="S196" s="32"/>
      <c r="T196" s="32"/>
      <c r="U196" s="6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ht="15.75" customHeight="1">
      <c r="D197" s="34"/>
      <c r="E197" s="24"/>
      <c r="F197" s="32"/>
      <c r="G197" s="32"/>
      <c r="H197" s="32"/>
      <c r="I197" s="32"/>
      <c r="J197" s="32"/>
      <c r="K197" s="32"/>
      <c r="L197" s="32"/>
      <c r="M197" s="32"/>
      <c r="N197" s="32"/>
      <c r="O197" s="6"/>
      <c r="P197" s="6"/>
      <c r="Q197" s="6"/>
      <c r="R197" s="6"/>
      <c r="S197" s="32"/>
      <c r="T197" s="32"/>
      <c r="U197" s="6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ht="15.75" customHeight="1">
      <c r="D198" s="34"/>
      <c r="E198" s="24"/>
      <c r="F198" s="32"/>
      <c r="G198" s="32"/>
      <c r="H198" s="32"/>
      <c r="I198" s="32"/>
      <c r="J198" s="32"/>
      <c r="K198" s="32"/>
      <c r="L198" s="32"/>
      <c r="M198" s="32"/>
      <c r="N198" s="32"/>
      <c r="O198" s="6"/>
      <c r="P198" s="6"/>
      <c r="Q198" s="6"/>
      <c r="R198" s="6"/>
      <c r="S198" s="32"/>
      <c r="T198" s="32"/>
      <c r="U198" s="6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ht="15.75" customHeight="1">
      <c r="D199" s="34"/>
      <c r="E199" s="24"/>
      <c r="F199" s="32"/>
      <c r="G199" s="32"/>
      <c r="H199" s="32"/>
      <c r="I199" s="32"/>
      <c r="J199" s="32"/>
      <c r="K199" s="32"/>
      <c r="L199" s="32"/>
      <c r="M199" s="32"/>
      <c r="N199" s="32"/>
      <c r="O199" s="6"/>
      <c r="P199" s="6"/>
      <c r="Q199" s="6"/>
      <c r="R199" s="6"/>
      <c r="S199" s="32"/>
      <c r="T199" s="32"/>
      <c r="U199" s="6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ht="15.75" customHeight="1">
      <c r="D200" s="34"/>
      <c r="E200" s="24"/>
      <c r="F200" s="32"/>
      <c r="G200" s="32"/>
      <c r="H200" s="32"/>
      <c r="I200" s="32"/>
      <c r="J200" s="32"/>
      <c r="K200" s="32"/>
      <c r="L200" s="32"/>
      <c r="M200" s="32"/>
      <c r="N200" s="32"/>
      <c r="O200" s="6"/>
      <c r="P200" s="6"/>
      <c r="Q200" s="6"/>
      <c r="R200" s="6"/>
      <c r="S200" s="32"/>
      <c r="T200" s="32"/>
      <c r="U200" s="6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ht="15.75" customHeight="1">
      <c r="D201" s="34"/>
      <c r="E201" s="24"/>
      <c r="F201" s="32"/>
      <c r="G201" s="32"/>
      <c r="H201" s="32"/>
      <c r="I201" s="32"/>
      <c r="J201" s="32"/>
      <c r="K201" s="32"/>
      <c r="L201" s="32"/>
      <c r="M201" s="32"/>
      <c r="N201" s="32"/>
      <c r="O201" s="6"/>
      <c r="P201" s="6"/>
      <c r="Q201" s="6"/>
      <c r="R201" s="6"/>
      <c r="S201" s="32"/>
      <c r="T201" s="32"/>
      <c r="U201" s="6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ht="15.75" customHeight="1">
      <c r="D202" s="34"/>
      <c r="E202" s="24"/>
      <c r="F202" s="32"/>
      <c r="G202" s="32"/>
      <c r="H202" s="32"/>
      <c r="I202" s="32"/>
      <c r="J202" s="32"/>
      <c r="K202" s="32"/>
      <c r="L202" s="32"/>
      <c r="M202" s="32"/>
      <c r="N202" s="32"/>
      <c r="O202" s="6"/>
      <c r="P202" s="6"/>
      <c r="Q202" s="6"/>
      <c r="R202" s="6"/>
      <c r="S202" s="32"/>
      <c r="T202" s="32"/>
      <c r="U202" s="6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ht="15.75" customHeight="1">
      <c r="D203" s="34"/>
      <c r="E203" s="24"/>
      <c r="F203" s="32"/>
      <c r="G203" s="32"/>
      <c r="H203" s="32"/>
      <c r="I203" s="32"/>
      <c r="J203" s="32"/>
      <c r="K203" s="32"/>
      <c r="L203" s="32"/>
      <c r="M203" s="32"/>
      <c r="N203" s="32"/>
      <c r="O203" s="6"/>
      <c r="P203" s="6"/>
      <c r="Q203" s="6"/>
      <c r="R203" s="6"/>
      <c r="S203" s="32"/>
      <c r="T203" s="32"/>
      <c r="U203" s="6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ht="15.75" customHeight="1">
      <c r="D204" s="34"/>
      <c r="E204" s="24"/>
      <c r="F204" s="32"/>
      <c r="G204" s="32"/>
      <c r="H204" s="32"/>
      <c r="I204" s="32"/>
      <c r="J204" s="32"/>
      <c r="K204" s="32"/>
      <c r="L204" s="32"/>
      <c r="M204" s="32"/>
      <c r="N204" s="32"/>
      <c r="O204" s="6"/>
      <c r="P204" s="6"/>
      <c r="Q204" s="6"/>
      <c r="R204" s="6"/>
      <c r="S204" s="32"/>
      <c r="T204" s="32"/>
      <c r="U204" s="6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ht="15.75" customHeight="1">
      <c r="D205" s="34"/>
      <c r="E205" s="24"/>
      <c r="F205" s="32"/>
      <c r="G205" s="32"/>
      <c r="H205" s="32"/>
      <c r="I205" s="32"/>
      <c r="J205" s="32"/>
      <c r="K205" s="32"/>
      <c r="L205" s="32"/>
      <c r="M205" s="32"/>
      <c r="N205" s="32"/>
      <c r="O205" s="6"/>
      <c r="P205" s="6"/>
      <c r="Q205" s="6"/>
      <c r="R205" s="6"/>
      <c r="S205" s="32"/>
      <c r="T205" s="32"/>
      <c r="U205" s="6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ht="15.75" customHeight="1">
      <c r="D206" s="34"/>
      <c r="E206" s="24"/>
      <c r="F206" s="32"/>
      <c r="G206" s="32"/>
      <c r="H206" s="32"/>
      <c r="I206" s="32"/>
      <c r="J206" s="32"/>
      <c r="K206" s="32"/>
      <c r="L206" s="32"/>
      <c r="M206" s="32"/>
      <c r="N206" s="32"/>
      <c r="O206" s="6"/>
      <c r="P206" s="6"/>
      <c r="Q206" s="6"/>
      <c r="R206" s="6"/>
      <c r="S206" s="32"/>
      <c r="T206" s="32"/>
      <c r="U206" s="6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ht="15.75" customHeight="1">
      <c r="D207" s="34"/>
      <c r="E207" s="24"/>
      <c r="F207" s="32"/>
      <c r="G207" s="32"/>
      <c r="H207" s="32"/>
      <c r="I207" s="32"/>
      <c r="J207" s="32"/>
      <c r="K207" s="32"/>
      <c r="L207" s="32"/>
      <c r="M207" s="32"/>
      <c r="N207" s="32"/>
      <c r="O207" s="6"/>
      <c r="P207" s="6"/>
      <c r="Q207" s="6"/>
      <c r="R207" s="6"/>
      <c r="S207" s="32"/>
      <c r="T207" s="32"/>
      <c r="U207" s="6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ht="15.75" customHeight="1">
      <c r="D208" s="34"/>
      <c r="E208" s="24"/>
      <c r="F208" s="32"/>
      <c r="G208" s="32"/>
      <c r="H208" s="32"/>
      <c r="I208" s="32"/>
      <c r="J208" s="32"/>
      <c r="K208" s="32"/>
      <c r="L208" s="32"/>
      <c r="M208" s="32"/>
      <c r="N208" s="32"/>
      <c r="O208" s="6"/>
      <c r="P208" s="6"/>
      <c r="Q208" s="6"/>
      <c r="R208" s="6"/>
      <c r="S208" s="32"/>
      <c r="T208" s="32"/>
      <c r="U208" s="6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ht="15.75" customHeight="1">
      <c r="D209" s="34"/>
      <c r="E209" s="24"/>
      <c r="F209" s="32"/>
      <c r="G209" s="32"/>
      <c r="H209" s="32"/>
      <c r="I209" s="32"/>
      <c r="J209" s="32"/>
      <c r="K209" s="32"/>
      <c r="L209" s="32"/>
      <c r="M209" s="32"/>
      <c r="N209" s="32"/>
      <c r="O209" s="6"/>
      <c r="P209" s="6"/>
      <c r="Q209" s="6"/>
      <c r="R209" s="6"/>
      <c r="S209" s="32"/>
      <c r="T209" s="32"/>
      <c r="U209" s="6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ht="15.75" customHeight="1">
      <c r="D210" s="34"/>
      <c r="E210" s="24"/>
      <c r="F210" s="32"/>
      <c r="G210" s="32"/>
      <c r="H210" s="32"/>
      <c r="I210" s="32"/>
      <c r="J210" s="32"/>
      <c r="K210" s="32"/>
      <c r="L210" s="32"/>
      <c r="M210" s="32"/>
      <c r="N210" s="32"/>
      <c r="O210" s="6"/>
      <c r="P210" s="6"/>
      <c r="Q210" s="6"/>
      <c r="R210" s="6"/>
      <c r="S210" s="32"/>
      <c r="T210" s="32"/>
      <c r="U210" s="6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ht="15.75" customHeight="1">
      <c r="D211" s="34"/>
      <c r="E211" s="24"/>
      <c r="F211" s="32"/>
      <c r="G211" s="32"/>
      <c r="H211" s="32"/>
      <c r="I211" s="32"/>
      <c r="J211" s="32"/>
      <c r="K211" s="32"/>
      <c r="L211" s="32"/>
      <c r="M211" s="32"/>
      <c r="N211" s="32"/>
      <c r="O211" s="6"/>
      <c r="P211" s="6"/>
      <c r="Q211" s="6"/>
      <c r="R211" s="6"/>
      <c r="S211" s="32"/>
      <c r="T211" s="32"/>
      <c r="U211" s="6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ht="15.75" customHeight="1">
      <c r="D212" s="34"/>
      <c r="E212" s="24"/>
      <c r="F212" s="32"/>
      <c r="G212" s="32"/>
      <c r="H212" s="32"/>
      <c r="I212" s="32"/>
      <c r="J212" s="32"/>
      <c r="K212" s="32"/>
      <c r="L212" s="32"/>
      <c r="M212" s="32"/>
      <c r="N212" s="32"/>
      <c r="O212" s="6"/>
      <c r="P212" s="6"/>
      <c r="Q212" s="6"/>
      <c r="R212" s="6"/>
      <c r="S212" s="32"/>
      <c r="T212" s="32"/>
      <c r="U212" s="6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ht="15.75" customHeight="1">
      <c r="D213" s="34"/>
      <c r="E213" s="24"/>
      <c r="F213" s="32"/>
      <c r="G213" s="32"/>
      <c r="H213" s="32"/>
      <c r="I213" s="32"/>
      <c r="J213" s="32"/>
      <c r="K213" s="32"/>
      <c r="L213" s="32"/>
      <c r="M213" s="32"/>
      <c r="N213" s="32"/>
      <c r="O213" s="6"/>
      <c r="P213" s="6"/>
      <c r="Q213" s="6"/>
      <c r="R213" s="6"/>
      <c r="S213" s="32"/>
      <c r="T213" s="32"/>
      <c r="U213" s="6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ht="15.75" customHeight="1">
      <c r="D214" s="34"/>
      <c r="E214" s="24"/>
      <c r="F214" s="32"/>
      <c r="G214" s="32"/>
      <c r="H214" s="32"/>
      <c r="I214" s="32"/>
      <c r="J214" s="32"/>
      <c r="K214" s="32"/>
      <c r="L214" s="32"/>
      <c r="M214" s="32"/>
      <c r="N214" s="32"/>
      <c r="O214" s="6"/>
      <c r="P214" s="6"/>
      <c r="Q214" s="6"/>
      <c r="R214" s="6"/>
      <c r="S214" s="32"/>
      <c r="T214" s="32"/>
      <c r="U214" s="6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ht="15.75" customHeight="1">
      <c r="D215" s="34"/>
      <c r="E215" s="24"/>
      <c r="F215" s="32"/>
      <c r="G215" s="32"/>
      <c r="H215" s="32"/>
      <c r="I215" s="32"/>
      <c r="J215" s="32"/>
      <c r="K215" s="32"/>
      <c r="L215" s="32"/>
      <c r="M215" s="32"/>
      <c r="N215" s="32"/>
      <c r="O215" s="6"/>
      <c r="P215" s="6"/>
      <c r="Q215" s="6"/>
      <c r="R215" s="6"/>
      <c r="S215" s="32"/>
      <c r="T215" s="32"/>
      <c r="U215" s="6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ht="15.75" customHeight="1">
      <c r="D216" s="34"/>
      <c r="E216" s="24"/>
      <c r="F216" s="32"/>
      <c r="G216" s="32"/>
      <c r="H216" s="32"/>
      <c r="I216" s="32"/>
      <c r="J216" s="32"/>
      <c r="K216" s="32"/>
      <c r="L216" s="32"/>
      <c r="M216" s="32"/>
      <c r="N216" s="32"/>
      <c r="O216" s="6"/>
      <c r="P216" s="6"/>
      <c r="Q216" s="6"/>
      <c r="R216" s="6"/>
      <c r="S216" s="32"/>
      <c r="T216" s="32"/>
      <c r="U216" s="6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ht="15.75" customHeight="1">
      <c r="D217" s="34"/>
      <c r="E217" s="24"/>
      <c r="F217" s="32"/>
      <c r="G217" s="32"/>
      <c r="H217" s="32"/>
      <c r="I217" s="32"/>
      <c r="J217" s="32"/>
      <c r="K217" s="32"/>
      <c r="L217" s="32"/>
      <c r="M217" s="32"/>
      <c r="N217" s="32"/>
      <c r="O217" s="6"/>
      <c r="P217" s="6"/>
      <c r="Q217" s="6"/>
      <c r="R217" s="6"/>
      <c r="S217" s="32"/>
      <c r="T217" s="32"/>
      <c r="U217" s="6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ht="15.75" customHeight="1">
      <c r="D218" s="34"/>
      <c r="E218" s="24"/>
      <c r="F218" s="32"/>
      <c r="G218" s="32"/>
      <c r="H218" s="32"/>
      <c r="I218" s="32"/>
      <c r="J218" s="32"/>
      <c r="K218" s="32"/>
      <c r="L218" s="32"/>
      <c r="M218" s="32"/>
      <c r="N218" s="32"/>
      <c r="O218" s="6"/>
      <c r="P218" s="6"/>
      <c r="Q218" s="6"/>
      <c r="R218" s="6"/>
      <c r="S218" s="32"/>
      <c r="T218" s="32"/>
      <c r="U218" s="6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ht="15.75" customHeight="1">
      <c r="D219" s="34"/>
      <c r="E219" s="24"/>
      <c r="F219" s="32"/>
      <c r="G219" s="32"/>
      <c r="H219" s="32"/>
      <c r="I219" s="32"/>
      <c r="J219" s="32"/>
      <c r="K219" s="32"/>
      <c r="L219" s="32"/>
      <c r="M219" s="32"/>
      <c r="N219" s="32"/>
      <c r="O219" s="6"/>
      <c r="P219" s="6"/>
      <c r="Q219" s="6"/>
      <c r="R219" s="6"/>
      <c r="S219" s="32"/>
      <c r="T219" s="32"/>
      <c r="U219" s="6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ht="15.75" customHeight="1">
      <c r="D220" s="34"/>
      <c r="E220" s="24"/>
      <c r="F220" s="32"/>
      <c r="G220" s="32"/>
      <c r="H220" s="32"/>
      <c r="I220" s="32"/>
      <c r="J220" s="32"/>
      <c r="K220" s="32"/>
      <c r="L220" s="32"/>
      <c r="M220" s="32"/>
      <c r="N220" s="32"/>
      <c r="O220" s="6"/>
      <c r="P220" s="6"/>
      <c r="Q220" s="6"/>
      <c r="R220" s="6"/>
      <c r="S220" s="32"/>
      <c r="T220" s="32"/>
      <c r="U220" s="6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ht="15.75" customHeight="1">
      <c r="D221" s="34"/>
      <c r="E221" s="24"/>
      <c r="F221" s="32"/>
      <c r="G221" s="32"/>
      <c r="H221" s="32"/>
      <c r="I221" s="32"/>
      <c r="J221" s="32"/>
      <c r="K221" s="32"/>
      <c r="L221" s="32"/>
      <c r="M221" s="32"/>
      <c r="N221" s="32"/>
      <c r="O221" s="6"/>
      <c r="P221" s="6"/>
      <c r="Q221" s="6"/>
      <c r="R221" s="6"/>
      <c r="S221" s="32"/>
      <c r="T221" s="32"/>
      <c r="U221" s="6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ht="15.75" customHeight="1">
      <c r="D222" s="34"/>
      <c r="E222" s="24"/>
      <c r="F222" s="32"/>
      <c r="G222" s="32"/>
      <c r="H222" s="32"/>
      <c r="I222" s="32"/>
      <c r="J222" s="32"/>
      <c r="K222" s="32"/>
      <c r="L222" s="32"/>
      <c r="M222" s="32"/>
      <c r="N222" s="32"/>
      <c r="O222" s="6"/>
      <c r="P222" s="6"/>
      <c r="Q222" s="6"/>
      <c r="R222" s="6"/>
      <c r="S222" s="32"/>
      <c r="T222" s="32"/>
      <c r="U222" s="6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ht="15.75" customHeight="1">
      <c r="D223" s="34"/>
      <c r="E223" s="24"/>
      <c r="F223" s="32"/>
      <c r="G223" s="32"/>
      <c r="H223" s="32"/>
      <c r="I223" s="32"/>
      <c r="J223" s="32"/>
      <c r="K223" s="32"/>
      <c r="L223" s="32"/>
      <c r="M223" s="32"/>
      <c r="N223" s="32"/>
      <c r="O223" s="6"/>
      <c r="P223" s="6"/>
      <c r="Q223" s="6"/>
      <c r="R223" s="6"/>
      <c r="S223" s="32"/>
      <c r="T223" s="32"/>
      <c r="U223" s="6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ht="15.75" customHeight="1">
      <c r="D224" s="34"/>
      <c r="E224" s="24"/>
      <c r="F224" s="32"/>
      <c r="G224" s="32"/>
      <c r="H224" s="32"/>
      <c r="I224" s="32"/>
      <c r="J224" s="32"/>
      <c r="K224" s="32"/>
      <c r="L224" s="32"/>
      <c r="M224" s="32"/>
      <c r="N224" s="32"/>
      <c r="O224" s="6"/>
      <c r="P224" s="6"/>
      <c r="Q224" s="6"/>
      <c r="R224" s="6"/>
      <c r="S224" s="32"/>
      <c r="T224" s="32"/>
      <c r="U224" s="6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ht="15.75" customHeight="1">
      <c r="D225" s="34"/>
      <c r="E225" s="24"/>
      <c r="F225" s="32"/>
      <c r="G225" s="32"/>
      <c r="H225" s="32"/>
      <c r="I225" s="32"/>
      <c r="J225" s="32"/>
      <c r="K225" s="32"/>
      <c r="L225" s="32"/>
      <c r="M225" s="32"/>
      <c r="N225" s="32"/>
      <c r="O225" s="6"/>
      <c r="P225" s="6"/>
      <c r="Q225" s="6"/>
      <c r="R225" s="6"/>
      <c r="S225" s="32"/>
      <c r="T225" s="32"/>
      <c r="U225" s="6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ht="15.75" customHeight="1">
      <c r="D226" s="34"/>
      <c r="E226" s="24"/>
      <c r="F226" s="32"/>
      <c r="G226" s="32"/>
      <c r="H226" s="32"/>
      <c r="I226" s="32"/>
      <c r="J226" s="32"/>
      <c r="K226" s="32"/>
      <c r="L226" s="32"/>
      <c r="M226" s="32"/>
      <c r="N226" s="32"/>
      <c r="O226" s="6"/>
      <c r="P226" s="6"/>
      <c r="Q226" s="6"/>
      <c r="R226" s="6"/>
      <c r="S226" s="32"/>
      <c r="T226" s="32"/>
      <c r="U226" s="6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ht="15.75" customHeight="1">
      <c r="D227" s="34"/>
      <c r="E227" s="24"/>
      <c r="F227" s="32"/>
      <c r="G227" s="32"/>
      <c r="H227" s="32"/>
      <c r="I227" s="32"/>
      <c r="J227" s="32"/>
      <c r="K227" s="32"/>
      <c r="L227" s="32"/>
      <c r="M227" s="32"/>
      <c r="N227" s="32"/>
      <c r="O227" s="6"/>
      <c r="P227" s="6"/>
      <c r="Q227" s="6"/>
      <c r="R227" s="6"/>
      <c r="S227" s="32"/>
      <c r="T227" s="32"/>
      <c r="U227" s="6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ht="15.75" customHeight="1">
      <c r="D228" s="34"/>
      <c r="E228" s="24"/>
      <c r="F228" s="32"/>
      <c r="G228" s="32"/>
      <c r="H228" s="32"/>
      <c r="I228" s="32"/>
      <c r="J228" s="32"/>
      <c r="K228" s="32"/>
      <c r="L228" s="32"/>
      <c r="M228" s="32"/>
      <c r="N228" s="32"/>
      <c r="O228" s="6"/>
      <c r="P228" s="6"/>
      <c r="Q228" s="6"/>
      <c r="R228" s="6"/>
      <c r="S228" s="32"/>
      <c r="T228" s="32"/>
      <c r="U228" s="6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ht="15.75" customHeight="1">
      <c r="D229" s="34"/>
      <c r="E229" s="24"/>
      <c r="F229" s="32"/>
      <c r="G229" s="32"/>
      <c r="H229" s="32"/>
      <c r="I229" s="32"/>
      <c r="J229" s="32"/>
      <c r="K229" s="32"/>
      <c r="L229" s="32"/>
      <c r="M229" s="32"/>
      <c r="N229" s="32"/>
      <c r="O229" s="6"/>
      <c r="P229" s="6"/>
      <c r="Q229" s="6"/>
      <c r="R229" s="6"/>
      <c r="S229" s="32"/>
      <c r="T229" s="32"/>
      <c r="U229" s="6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ht="15.75" customHeight="1">
      <c r="D230" s="34"/>
      <c r="E230" s="24"/>
      <c r="F230" s="32"/>
      <c r="G230" s="32"/>
      <c r="H230" s="32"/>
      <c r="I230" s="32"/>
      <c r="J230" s="32"/>
      <c r="K230" s="32"/>
      <c r="L230" s="32"/>
      <c r="M230" s="32"/>
      <c r="N230" s="32"/>
      <c r="O230" s="6"/>
      <c r="P230" s="6"/>
      <c r="Q230" s="6"/>
      <c r="R230" s="6"/>
      <c r="S230" s="32"/>
      <c r="T230" s="32"/>
      <c r="U230" s="6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ht="15.75" customHeight="1">
      <c r="D231" s="34"/>
      <c r="E231" s="24"/>
      <c r="F231" s="32"/>
      <c r="G231" s="32"/>
      <c r="H231" s="32"/>
      <c r="I231" s="32"/>
      <c r="J231" s="32"/>
      <c r="K231" s="32"/>
      <c r="L231" s="32"/>
      <c r="M231" s="32"/>
      <c r="N231" s="32"/>
      <c r="O231" s="6"/>
      <c r="P231" s="6"/>
      <c r="Q231" s="6"/>
      <c r="R231" s="6"/>
      <c r="S231" s="32"/>
      <c r="T231" s="32"/>
      <c r="U231" s="6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ht="15.75" customHeight="1">
      <c r="D232" s="34"/>
      <c r="E232" s="24"/>
      <c r="F232" s="32"/>
      <c r="G232" s="32"/>
      <c r="H232" s="32"/>
      <c r="I232" s="32"/>
      <c r="J232" s="32"/>
      <c r="K232" s="32"/>
      <c r="L232" s="32"/>
      <c r="M232" s="32"/>
      <c r="N232" s="32"/>
      <c r="O232" s="6"/>
      <c r="P232" s="6"/>
      <c r="Q232" s="6"/>
      <c r="R232" s="6"/>
      <c r="S232" s="32"/>
      <c r="T232" s="32"/>
      <c r="U232" s="6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ht="15.75" customHeight="1">
      <c r="D233" s="34"/>
      <c r="E233" s="24"/>
      <c r="F233" s="32"/>
      <c r="G233" s="32"/>
      <c r="H233" s="32"/>
      <c r="I233" s="32"/>
      <c r="J233" s="32"/>
      <c r="K233" s="32"/>
      <c r="L233" s="32"/>
      <c r="M233" s="32"/>
      <c r="N233" s="32"/>
      <c r="O233" s="6"/>
      <c r="P233" s="6"/>
      <c r="Q233" s="6"/>
      <c r="R233" s="6"/>
      <c r="S233" s="32"/>
      <c r="T233" s="32"/>
      <c r="U233" s="6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ht="15.75" customHeight="1">
      <c r="D234" s="34"/>
      <c r="E234" s="24"/>
      <c r="F234" s="32"/>
      <c r="G234" s="32"/>
      <c r="H234" s="32"/>
      <c r="I234" s="32"/>
      <c r="J234" s="32"/>
      <c r="K234" s="32"/>
      <c r="L234" s="32"/>
      <c r="M234" s="32"/>
      <c r="N234" s="32"/>
      <c r="O234" s="6"/>
      <c r="P234" s="6"/>
      <c r="Q234" s="6"/>
      <c r="R234" s="6"/>
      <c r="S234" s="32"/>
      <c r="T234" s="32"/>
      <c r="U234" s="6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ht="15.75" customHeight="1">
      <c r="D235" s="34"/>
      <c r="E235" s="24"/>
      <c r="F235" s="32"/>
      <c r="G235" s="32"/>
      <c r="H235" s="32"/>
      <c r="I235" s="32"/>
      <c r="J235" s="32"/>
      <c r="K235" s="32"/>
      <c r="L235" s="32"/>
      <c r="M235" s="32"/>
      <c r="N235" s="32"/>
      <c r="O235" s="6"/>
      <c r="P235" s="6"/>
      <c r="Q235" s="6"/>
      <c r="R235" s="6"/>
      <c r="S235" s="32"/>
      <c r="T235" s="32"/>
      <c r="U235" s="6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ht="15.75" customHeight="1">
      <c r="D236" s="34"/>
      <c r="E236" s="24"/>
      <c r="F236" s="32"/>
      <c r="G236" s="32"/>
      <c r="H236" s="32"/>
      <c r="I236" s="32"/>
      <c r="J236" s="32"/>
      <c r="K236" s="32"/>
      <c r="L236" s="32"/>
      <c r="M236" s="32"/>
      <c r="N236" s="32"/>
      <c r="O236" s="6"/>
      <c r="P236" s="6"/>
      <c r="Q236" s="6"/>
      <c r="R236" s="6"/>
      <c r="S236" s="32"/>
      <c r="T236" s="32"/>
      <c r="U236" s="6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ht="15.75" customHeight="1">
      <c r="D237" s="34"/>
      <c r="E237" s="24"/>
      <c r="F237" s="32"/>
      <c r="G237" s="32"/>
      <c r="H237" s="32"/>
      <c r="I237" s="32"/>
      <c r="J237" s="32"/>
      <c r="K237" s="32"/>
      <c r="L237" s="32"/>
      <c r="M237" s="32"/>
      <c r="N237" s="32"/>
      <c r="O237" s="6"/>
      <c r="P237" s="6"/>
      <c r="Q237" s="6"/>
      <c r="R237" s="6"/>
      <c r="S237" s="32"/>
      <c r="T237" s="32"/>
      <c r="U237" s="6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ht="15.75" customHeight="1">
      <c r="D238" s="34"/>
      <c r="E238" s="24"/>
      <c r="F238" s="32"/>
      <c r="G238" s="32"/>
      <c r="H238" s="32"/>
      <c r="I238" s="32"/>
      <c r="J238" s="32"/>
      <c r="K238" s="32"/>
      <c r="L238" s="32"/>
      <c r="M238" s="32"/>
      <c r="N238" s="32"/>
      <c r="O238" s="6"/>
      <c r="P238" s="6"/>
      <c r="Q238" s="6"/>
      <c r="R238" s="6"/>
      <c r="S238" s="32"/>
      <c r="T238" s="32"/>
      <c r="U238" s="6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ht="15.75" customHeight="1">
      <c r="D239" s="34"/>
      <c r="E239" s="24"/>
      <c r="F239" s="32"/>
      <c r="G239" s="32"/>
      <c r="H239" s="32"/>
      <c r="I239" s="32"/>
      <c r="J239" s="32"/>
      <c r="K239" s="32"/>
      <c r="L239" s="32"/>
      <c r="M239" s="32"/>
      <c r="N239" s="32"/>
      <c r="O239" s="6"/>
      <c r="P239" s="6"/>
      <c r="Q239" s="6"/>
      <c r="R239" s="6"/>
      <c r="S239" s="32"/>
      <c r="T239" s="32"/>
      <c r="U239" s="6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ht="15.75" customHeight="1">
      <c r="D240" s="34"/>
      <c r="E240" s="24"/>
      <c r="F240" s="32"/>
      <c r="G240" s="32"/>
      <c r="H240" s="32"/>
      <c r="I240" s="32"/>
      <c r="J240" s="32"/>
      <c r="K240" s="32"/>
      <c r="L240" s="32"/>
      <c r="M240" s="32"/>
      <c r="N240" s="32"/>
      <c r="O240" s="6"/>
      <c r="P240" s="6"/>
      <c r="Q240" s="6"/>
      <c r="R240" s="6"/>
      <c r="S240" s="32"/>
      <c r="T240" s="32"/>
      <c r="U240" s="6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ht="15.75" customHeight="1">
      <c r="D241" s="34"/>
      <c r="E241" s="24"/>
      <c r="F241" s="32"/>
      <c r="G241" s="32"/>
      <c r="H241" s="32"/>
      <c r="I241" s="32"/>
      <c r="J241" s="32"/>
      <c r="K241" s="32"/>
      <c r="L241" s="32"/>
      <c r="M241" s="32"/>
      <c r="N241" s="32"/>
      <c r="O241" s="6"/>
      <c r="P241" s="6"/>
      <c r="Q241" s="6"/>
      <c r="R241" s="6"/>
      <c r="S241" s="32"/>
      <c r="T241" s="32"/>
      <c r="U241" s="6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ht="15.75" customHeight="1">
      <c r="D242" s="34"/>
      <c r="E242" s="24"/>
      <c r="F242" s="32"/>
      <c r="G242" s="32"/>
      <c r="H242" s="32"/>
      <c r="I242" s="32"/>
      <c r="J242" s="32"/>
      <c r="K242" s="32"/>
      <c r="L242" s="32"/>
      <c r="M242" s="32"/>
      <c r="N242" s="32"/>
      <c r="O242" s="6"/>
      <c r="P242" s="6"/>
      <c r="Q242" s="6"/>
      <c r="R242" s="6"/>
      <c r="S242" s="32"/>
      <c r="T242" s="32"/>
      <c r="U242" s="6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ht="15.75" customHeight="1">
      <c r="D243" s="34"/>
      <c r="E243" s="24"/>
      <c r="F243" s="32"/>
      <c r="G243" s="32"/>
      <c r="H243" s="32"/>
      <c r="I243" s="32"/>
      <c r="J243" s="32"/>
      <c r="K243" s="32"/>
      <c r="L243" s="32"/>
      <c r="M243" s="32"/>
      <c r="N243" s="32"/>
      <c r="O243" s="6"/>
      <c r="P243" s="6"/>
      <c r="Q243" s="6"/>
      <c r="R243" s="6"/>
      <c r="S243" s="32"/>
      <c r="T243" s="32"/>
      <c r="U243" s="6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ht="15.75" customHeight="1">
      <c r="D244" s="34"/>
      <c r="E244" s="24"/>
      <c r="F244" s="32"/>
      <c r="G244" s="32"/>
      <c r="H244" s="32"/>
      <c r="I244" s="32"/>
      <c r="J244" s="32"/>
      <c r="K244" s="32"/>
      <c r="L244" s="32"/>
      <c r="M244" s="32"/>
      <c r="N244" s="32"/>
      <c r="O244" s="6"/>
      <c r="P244" s="6"/>
      <c r="Q244" s="6"/>
      <c r="R244" s="6"/>
      <c r="S244" s="32"/>
      <c r="T244" s="32"/>
      <c r="U244" s="6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ht="15.75" customHeight="1">
      <c r="D245" s="34"/>
      <c r="E245" s="24"/>
      <c r="F245" s="32"/>
      <c r="G245" s="32"/>
      <c r="H245" s="32"/>
      <c r="I245" s="32"/>
      <c r="J245" s="32"/>
      <c r="K245" s="32"/>
      <c r="L245" s="32"/>
      <c r="M245" s="32"/>
      <c r="N245" s="32"/>
      <c r="O245" s="6"/>
      <c r="P245" s="6"/>
      <c r="Q245" s="6"/>
      <c r="R245" s="6"/>
      <c r="S245" s="32"/>
      <c r="T245" s="32"/>
      <c r="U245" s="6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ht="15.75" customHeight="1">
      <c r="D246" s="34"/>
      <c r="E246" s="24"/>
      <c r="F246" s="32"/>
      <c r="G246" s="32"/>
      <c r="H246" s="32"/>
      <c r="I246" s="32"/>
      <c r="J246" s="32"/>
      <c r="K246" s="32"/>
      <c r="L246" s="32"/>
      <c r="M246" s="32"/>
      <c r="N246" s="32"/>
      <c r="O246" s="6"/>
      <c r="P246" s="6"/>
      <c r="Q246" s="6"/>
      <c r="R246" s="6"/>
      <c r="S246" s="32"/>
      <c r="T246" s="32"/>
      <c r="U246" s="6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ht="15.75" customHeight="1">
      <c r="D247" s="34"/>
      <c r="E247" s="24"/>
      <c r="F247" s="32"/>
      <c r="G247" s="32"/>
      <c r="H247" s="32"/>
      <c r="I247" s="32"/>
      <c r="J247" s="32"/>
      <c r="K247" s="32"/>
      <c r="L247" s="32"/>
      <c r="M247" s="32"/>
      <c r="N247" s="32"/>
      <c r="O247" s="6"/>
      <c r="P247" s="6"/>
      <c r="Q247" s="6"/>
      <c r="R247" s="6"/>
      <c r="S247" s="32"/>
      <c r="T247" s="32"/>
      <c r="U247" s="6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ht="15.75" customHeight="1">
      <c r="D248" s="34"/>
      <c r="E248" s="24"/>
      <c r="F248" s="32"/>
      <c r="G248" s="32"/>
      <c r="H248" s="32"/>
      <c r="I248" s="32"/>
      <c r="J248" s="32"/>
      <c r="K248" s="32"/>
      <c r="L248" s="32"/>
      <c r="M248" s="32"/>
      <c r="N248" s="32"/>
      <c r="O248" s="6"/>
      <c r="P248" s="6"/>
      <c r="Q248" s="6"/>
      <c r="R248" s="6"/>
      <c r="S248" s="32"/>
      <c r="T248" s="32"/>
      <c r="U248" s="6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ht="15.75" customHeight="1">
      <c r="D249" s="34"/>
      <c r="E249" s="24"/>
      <c r="F249" s="32"/>
      <c r="G249" s="32"/>
      <c r="H249" s="32"/>
      <c r="I249" s="32"/>
      <c r="J249" s="32"/>
      <c r="K249" s="32"/>
      <c r="L249" s="32"/>
      <c r="M249" s="32"/>
      <c r="N249" s="32"/>
      <c r="O249" s="6"/>
      <c r="P249" s="6"/>
      <c r="Q249" s="6"/>
      <c r="R249" s="6"/>
      <c r="S249" s="32"/>
      <c r="T249" s="32"/>
      <c r="U249" s="6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ht="15.75" customHeight="1">
      <c r="D250" s="34"/>
      <c r="E250" s="24"/>
      <c r="F250" s="32"/>
      <c r="G250" s="32"/>
      <c r="H250" s="32"/>
      <c r="I250" s="32"/>
      <c r="J250" s="32"/>
      <c r="K250" s="32"/>
      <c r="L250" s="32"/>
      <c r="M250" s="32"/>
      <c r="N250" s="32"/>
      <c r="O250" s="6"/>
      <c r="P250" s="6"/>
      <c r="Q250" s="6"/>
      <c r="R250" s="6"/>
      <c r="S250" s="32"/>
      <c r="T250" s="32"/>
      <c r="U250" s="6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ht="15.75" customHeight="1">
      <c r="D251" s="34"/>
      <c r="E251" s="24"/>
      <c r="F251" s="32"/>
      <c r="G251" s="32"/>
      <c r="H251" s="32"/>
      <c r="I251" s="32"/>
      <c r="J251" s="32"/>
      <c r="K251" s="32"/>
      <c r="L251" s="32"/>
      <c r="M251" s="32"/>
      <c r="N251" s="32"/>
      <c r="O251" s="6"/>
      <c r="P251" s="6"/>
      <c r="Q251" s="6"/>
      <c r="R251" s="6"/>
      <c r="S251" s="32"/>
      <c r="T251" s="32"/>
      <c r="U251" s="6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ht="15.75" customHeight="1">
      <c r="D252" s="34"/>
      <c r="E252" s="24"/>
      <c r="F252" s="32"/>
      <c r="G252" s="32"/>
      <c r="H252" s="32"/>
      <c r="I252" s="32"/>
      <c r="J252" s="32"/>
      <c r="K252" s="32"/>
      <c r="L252" s="32"/>
      <c r="M252" s="32"/>
      <c r="N252" s="32"/>
      <c r="O252" s="6"/>
      <c r="P252" s="6"/>
      <c r="Q252" s="6"/>
      <c r="R252" s="6"/>
      <c r="S252" s="32"/>
      <c r="T252" s="32"/>
      <c r="U252" s="6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ht="15.75" customHeight="1">
      <c r="D253" s="34"/>
      <c r="E253" s="24"/>
      <c r="F253" s="32"/>
      <c r="G253" s="32"/>
      <c r="H253" s="32"/>
      <c r="I253" s="32"/>
      <c r="J253" s="32"/>
      <c r="K253" s="32"/>
      <c r="L253" s="32"/>
      <c r="M253" s="32"/>
      <c r="N253" s="32"/>
      <c r="O253" s="6"/>
      <c r="P253" s="6"/>
      <c r="Q253" s="6"/>
      <c r="R253" s="6"/>
      <c r="S253" s="32"/>
      <c r="T253" s="32"/>
      <c r="U253" s="6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ht="15.75" customHeight="1">
      <c r="D254" s="34"/>
      <c r="E254" s="24"/>
      <c r="F254" s="32"/>
      <c r="G254" s="32"/>
      <c r="H254" s="32"/>
      <c r="I254" s="32"/>
      <c r="J254" s="32"/>
      <c r="K254" s="32"/>
      <c r="L254" s="32"/>
      <c r="M254" s="32"/>
      <c r="N254" s="32"/>
      <c r="O254" s="6"/>
      <c r="P254" s="6"/>
      <c r="Q254" s="6"/>
      <c r="R254" s="6"/>
      <c r="S254" s="32"/>
      <c r="T254" s="32"/>
      <c r="U254" s="6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ht="15.75" customHeight="1">
      <c r="D255" s="34"/>
      <c r="E255" s="24"/>
      <c r="F255" s="32"/>
      <c r="G255" s="32"/>
      <c r="H255" s="32"/>
      <c r="I255" s="32"/>
      <c r="J255" s="32"/>
      <c r="K255" s="32"/>
      <c r="L255" s="32"/>
      <c r="M255" s="32"/>
      <c r="N255" s="32"/>
      <c r="O255" s="6"/>
      <c r="P255" s="6"/>
      <c r="Q255" s="6"/>
      <c r="R255" s="6"/>
      <c r="S255" s="32"/>
      <c r="T255" s="32"/>
      <c r="U255" s="6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ht="15.75" customHeight="1">
      <c r="D256" s="34"/>
      <c r="E256" s="24"/>
      <c r="F256" s="32"/>
      <c r="G256" s="32"/>
      <c r="H256" s="32"/>
      <c r="I256" s="32"/>
      <c r="J256" s="32"/>
      <c r="K256" s="32"/>
      <c r="L256" s="32"/>
      <c r="M256" s="32"/>
      <c r="N256" s="32"/>
      <c r="O256" s="6"/>
      <c r="P256" s="6"/>
      <c r="Q256" s="6"/>
      <c r="R256" s="6"/>
      <c r="S256" s="32"/>
      <c r="T256" s="32"/>
      <c r="U256" s="6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ht="15.75" customHeight="1">
      <c r="D257" s="34"/>
      <c r="E257" s="24"/>
      <c r="F257" s="32"/>
      <c r="G257" s="32"/>
      <c r="H257" s="32"/>
      <c r="I257" s="32"/>
      <c r="J257" s="32"/>
      <c r="K257" s="32"/>
      <c r="L257" s="32"/>
      <c r="M257" s="32"/>
      <c r="N257" s="32"/>
      <c r="O257" s="6"/>
      <c r="P257" s="6"/>
      <c r="Q257" s="6"/>
      <c r="R257" s="6"/>
      <c r="S257" s="32"/>
      <c r="T257" s="32"/>
      <c r="U257" s="6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ht="15.75" customHeight="1">
      <c r="D258" s="34"/>
      <c r="E258" s="24"/>
      <c r="F258" s="32"/>
      <c r="G258" s="32"/>
      <c r="H258" s="32"/>
      <c r="I258" s="32"/>
      <c r="J258" s="32"/>
      <c r="K258" s="32"/>
      <c r="L258" s="32"/>
      <c r="M258" s="32"/>
      <c r="N258" s="32"/>
      <c r="O258" s="6"/>
      <c r="P258" s="6"/>
      <c r="Q258" s="6"/>
      <c r="R258" s="6"/>
      <c r="S258" s="32"/>
      <c r="T258" s="32"/>
      <c r="U258" s="6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ht="15.75" customHeight="1">
      <c r="D259" s="34"/>
      <c r="E259" s="24"/>
      <c r="F259" s="32"/>
      <c r="G259" s="32"/>
      <c r="H259" s="32"/>
      <c r="I259" s="32"/>
      <c r="J259" s="32"/>
      <c r="K259" s="32"/>
      <c r="L259" s="32"/>
      <c r="M259" s="32"/>
      <c r="N259" s="32"/>
      <c r="O259" s="6"/>
      <c r="P259" s="6"/>
      <c r="Q259" s="6"/>
      <c r="R259" s="6"/>
      <c r="S259" s="32"/>
      <c r="T259" s="32"/>
      <c r="U259" s="6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ht="15.75" customHeight="1">
      <c r="D260" s="34"/>
      <c r="E260" s="24"/>
      <c r="F260" s="32"/>
      <c r="G260" s="32"/>
      <c r="H260" s="32"/>
      <c r="I260" s="32"/>
      <c r="J260" s="32"/>
      <c r="K260" s="32"/>
      <c r="L260" s="32"/>
      <c r="M260" s="32"/>
      <c r="N260" s="32"/>
      <c r="O260" s="6"/>
      <c r="P260" s="6"/>
      <c r="Q260" s="6"/>
      <c r="R260" s="6"/>
      <c r="S260" s="32"/>
      <c r="T260" s="32"/>
      <c r="U260" s="6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ht="15.75" customHeight="1">
      <c r="D261" s="34"/>
      <c r="E261" s="24"/>
      <c r="F261" s="32"/>
      <c r="G261" s="32"/>
      <c r="H261" s="32"/>
      <c r="I261" s="32"/>
      <c r="J261" s="32"/>
      <c r="K261" s="32"/>
      <c r="L261" s="32"/>
      <c r="M261" s="32"/>
      <c r="N261" s="32"/>
      <c r="O261" s="6"/>
      <c r="P261" s="6"/>
      <c r="Q261" s="6"/>
      <c r="R261" s="6"/>
      <c r="S261" s="32"/>
      <c r="T261" s="32"/>
      <c r="U261" s="6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ht="15.75" customHeight="1">
      <c r="D262" s="34"/>
      <c r="E262" s="24"/>
      <c r="F262" s="32"/>
      <c r="G262" s="32"/>
      <c r="H262" s="32"/>
      <c r="I262" s="32"/>
      <c r="J262" s="32"/>
      <c r="K262" s="32"/>
      <c r="L262" s="32"/>
      <c r="M262" s="32"/>
      <c r="N262" s="32"/>
      <c r="O262" s="6"/>
      <c r="P262" s="6"/>
      <c r="Q262" s="6"/>
      <c r="R262" s="6"/>
      <c r="S262" s="32"/>
      <c r="T262" s="32"/>
      <c r="U262" s="6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ht="15.75" customHeight="1">
      <c r="D263" s="34"/>
      <c r="E263" s="24"/>
      <c r="F263" s="32"/>
      <c r="G263" s="32"/>
      <c r="H263" s="32"/>
      <c r="I263" s="32"/>
      <c r="J263" s="32"/>
      <c r="K263" s="32"/>
      <c r="L263" s="32"/>
      <c r="M263" s="32"/>
      <c r="N263" s="32"/>
      <c r="O263" s="6"/>
      <c r="P263" s="6"/>
      <c r="Q263" s="6"/>
      <c r="R263" s="6"/>
      <c r="S263" s="32"/>
      <c r="T263" s="32"/>
      <c r="U263" s="6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ht="15.75" customHeight="1">
      <c r="D264" s="34"/>
      <c r="E264" s="24"/>
      <c r="F264" s="32"/>
      <c r="G264" s="32"/>
      <c r="H264" s="32"/>
      <c r="I264" s="32"/>
      <c r="J264" s="32"/>
      <c r="K264" s="32"/>
      <c r="L264" s="32"/>
      <c r="M264" s="32"/>
      <c r="N264" s="32"/>
      <c r="O264" s="6"/>
      <c r="P264" s="6"/>
      <c r="Q264" s="6"/>
      <c r="R264" s="6"/>
      <c r="S264" s="32"/>
      <c r="T264" s="32"/>
      <c r="U264" s="6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ht="15.75" customHeight="1">
      <c r="D265" s="34"/>
      <c r="E265" s="24"/>
      <c r="F265" s="32"/>
      <c r="G265" s="32"/>
      <c r="H265" s="32"/>
      <c r="I265" s="32"/>
      <c r="J265" s="32"/>
      <c r="K265" s="32"/>
      <c r="L265" s="32"/>
      <c r="M265" s="32"/>
      <c r="N265" s="32"/>
      <c r="O265" s="6"/>
      <c r="P265" s="6"/>
      <c r="Q265" s="6"/>
      <c r="R265" s="6"/>
      <c r="S265" s="32"/>
      <c r="T265" s="32"/>
      <c r="U265" s="6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ht="15.75" customHeight="1">
      <c r="D266" s="34"/>
      <c r="E266" s="24"/>
      <c r="F266" s="32"/>
      <c r="G266" s="32"/>
      <c r="H266" s="32"/>
      <c r="I266" s="32"/>
      <c r="J266" s="32"/>
      <c r="K266" s="32"/>
      <c r="L266" s="32"/>
      <c r="M266" s="32"/>
      <c r="N266" s="32"/>
      <c r="O266" s="6"/>
      <c r="P266" s="6"/>
      <c r="Q266" s="6"/>
      <c r="R266" s="6"/>
      <c r="S266" s="32"/>
      <c r="T266" s="32"/>
      <c r="U266" s="6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ht="15.75" customHeight="1">
      <c r="D267" s="34"/>
      <c r="E267" s="24"/>
      <c r="F267" s="32"/>
      <c r="G267" s="32"/>
      <c r="H267" s="32"/>
      <c r="I267" s="32"/>
      <c r="J267" s="32"/>
      <c r="K267" s="32"/>
      <c r="L267" s="32"/>
      <c r="M267" s="32"/>
      <c r="N267" s="32"/>
      <c r="O267" s="6"/>
      <c r="P267" s="6"/>
      <c r="Q267" s="6"/>
      <c r="R267" s="6"/>
      <c r="S267" s="32"/>
      <c r="T267" s="32"/>
      <c r="U267" s="6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ht="15.75" customHeight="1">
      <c r="D268" s="34"/>
      <c r="E268" s="24"/>
      <c r="F268" s="32"/>
      <c r="G268" s="32"/>
      <c r="H268" s="32"/>
      <c r="I268" s="32"/>
      <c r="J268" s="32"/>
      <c r="K268" s="32"/>
      <c r="L268" s="32"/>
      <c r="M268" s="32"/>
      <c r="N268" s="32"/>
      <c r="O268" s="6"/>
      <c r="P268" s="6"/>
      <c r="Q268" s="6"/>
      <c r="R268" s="6"/>
      <c r="S268" s="32"/>
      <c r="T268" s="32"/>
      <c r="U268" s="6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ht="15.75" customHeight="1">
      <c r="D269" s="34"/>
      <c r="E269" s="24"/>
      <c r="F269" s="32"/>
      <c r="G269" s="32"/>
      <c r="H269" s="32"/>
      <c r="I269" s="32"/>
      <c r="J269" s="32"/>
      <c r="K269" s="32"/>
      <c r="L269" s="32"/>
      <c r="M269" s="32"/>
      <c r="N269" s="32"/>
      <c r="O269" s="6"/>
      <c r="P269" s="6"/>
      <c r="Q269" s="6"/>
      <c r="R269" s="6"/>
      <c r="S269" s="32"/>
      <c r="T269" s="32"/>
      <c r="U269" s="6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ht="15.75" customHeight="1">
      <c r="D270" s="34"/>
      <c r="E270" s="24"/>
      <c r="F270" s="32"/>
      <c r="G270" s="32"/>
      <c r="H270" s="32"/>
      <c r="I270" s="32"/>
      <c r="J270" s="32"/>
      <c r="K270" s="32"/>
      <c r="L270" s="32"/>
      <c r="M270" s="32"/>
      <c r="N270" s="32"/>
      <c r="O270" s="6"/>
      <c r="P270" s="6"/>
      <c r="Q270" s="6"/>
      <c r="R270" s="6"/>
      <c r="S270" s="32"/>
      <c r="T270" s="32"/>
      <c r="U270" s="6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ht="15.75" customHeight="1">
      <c r="D271" s="34"/>
      <c r="E271" s="24"/>
      <c r="F271" s="32"/>
      <c r="G271" s="32"/>
      <c r="H271" s="32"/>
      <c r="I271" s="32"/>
      <c r="J271" s="32"/>
      <c r="K271" s="32"/>
      <c r="L271" s="32"/>
      <c r="M271" s="32"/>
      <c r="N271" s="32"/>
      <c r="O271" s="6"/>
      <c r="P271" s="6"/>
      <c r="Q271" s="6"/>
      <c r="R271" s="6"/>
      <c r="S271" s="32"/>
      <c r="T271" s="32"/>
      <c r="U271" s="6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ht="15.75" customHeight="1">
      <c r="D272" s="34"/>
      <c r="E272" s="24"/>
      <c r="F272" s="32"/>
      <c r="G272" s="32"/>
      <c r="H272" s="32"/>
      <c r="I272" s="32"/>
      <c r="J272" s="32"/>
      <c r="K272" s="32"/>
      <c r="L272" s="32"/>
      <c r="M272" s="32"/>
      <c r="N272" s="32"/>
      <c r="O272" s="6"/>
      <c r="P272" s="6"/>
      <c r="Q272" s="6"/>
      <c r="R272" s="6"/>
      <c r="S272" s="32"/>
      <c r="T272" s="32"/>
      <c r="U272" s="6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ht="15.75" customHeight="1">
      <c r="D273" s="34"/>
      <c r="E273" s="24"/>
      <c r="F273" s="32"/>
      <c r="G273" s="32"/>
      <c r="H273" s="32"/>
      <c r="I273" s="32"/>
      <c r="J273" s="32"/>
      <c r="K273" s="32"/>
      <c r="L273" s="32"/>
      <c r="M273" s="32"/>
      <c r="N273" s="32"/>
      <c r="O273" s="6"/>
      <c r="P273" s="6"/>
      <c r="Q273" s="6"/>
      <c r="R273" s="6"/>
      <c r="S273" s="32"/>
      <c r="T273" s="32"/>
      <c r="U273" s="6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ht="15.75" customHeight="1">
      <c r="D274" s="34"/>
      <c r="E274" s="24"/>
      <c r="F274" s="32"/>
      <c r="G274" s="32"/>
      <c r="H274" s="32"/>
      <c r="I274" s="32"/>
      <c r="J274" s="32"/>
      <c r="K274" s="32"/>
      <c r="L274" s="32"/>
      <c r="M274" s="32"/>
      <c r="N274" s="32"/>
      <c r="O274" s="6"/>
      <c r="P274" s="6"/>
      <c r="Q274" s="6"/>
      <c r="R274" s="6"/>
      <c r="S274" s="32"/>
      <c r="T274" s="32"/>
      <c r="U274" s="6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ht="15.75" customHeight="1">
      <c r="D275" s="34"/>
      <c r="E275" s="24"/>
      <c r="F275" s="32"/>
      <c r="G275" s="32"/>
      <c r="H275" s="32"/>
      <c r="I275" s="32"/>
      <c r="J275" s="32"/>
      <c r="K275" s="32"/>
      <c r="L275" s="32"/>
      <c r="M275" s="32"/>
      <c r="N275" s="32"/>
      <c r="O275" s="6"/>
      <c r="P275" s="6"/>
      <c r="Q275" s="6"/>
      <c r="R275" s="6"/>
      <c r="S275" s="32"/>
      <c r="T275" s="32"/>
      <c r="U275" s="6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ht="15.75" customHeight="1">
      <c r="D276" s="34"/>
      <c r="E276" s="24"/>
      <c r="F276" s="32"/>
      <c r="G276" s="32"/>
      <c r="H276" s="32"/>
      <c r="I276" s="32"/>
      <c r="J276" s="32"/>
      <c r="K276" s="32"/>
      <c r="L276" s="32"/>
      <c r="M276" s="32"/>
      <c r="N276" s="32"/>
      <c r="O276" s="6"/>
      <c r="P276" s="6"/>
      <c r="Q276" s="6"/>
      <c r="R276" s="6"/>
      <c r="S276" s="32"/>
      <c r="T276" s="32"/>
      <c r="U276" s="6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ht="15.75" customHeight="1">
      <c r="D277" s="34"/>
      <c r="E277" s="24"/>
      <c r="F277" s="32"/>
      <c r="G277" s="32"/>
      <c r="H277" s="32"/>
      <c r="I277" s="32"/>
      <c r="J277" s="32"/>
      <c r="K277" s="32"/>
      <c r="L277" s="32"/>
      <c r="M277" s="32"/>
      <c r="N277" s="32"/>
      <c r="O277" s="6"/>
      <c r="P277" s="6"/>
      <c r="Q277" s="6"/>
      <c r="R277" s="6"/>
      <c r="S277" s="32"/>
      <c r="T277" s="32"/>
      <c r="U277" s="6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ht="15.75" customHeight="1">
      <c r="D278" s="34"/>
      <c r="E278" s="24"/>
      <c r="F278" s="32"/>
      <c r="G278" s="32"/>
      <c r="H278" s="32"/>
      <c r="I278" s="32"/>
      <c r="J278" s="32"/>
      <c r="K278" s="32"/>
      <c r="L278" s="32"/>
      <c r="M278" s="32"/>
      <c r="N278" s="32"/>
      <c r="O278" s="6"/>
      <c r="P278" s="6"/>
      <c r="Q278" s="6"/>
      <c r="R278" s="6"/>
      <c r="S278" s="32"/>
      <c r="T278" s="32"/>
      <c r="U278" s="6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ht="15.75" customHeight="1">
      <c r="D279" s="34"/>
      <c r="E279" s="24"/>
      <c r="F279" s="32"/>
      <c r="G279" s="32"/>
      <c r="H279" s="32"/>
      <c r="I279" s="32"/>
      <c r="J279" s="32"/>
      <c r="K279" s="32"/>
      <c r="L279" s="32"/>
      <c r="M279" s="32"/>
      <c r="N279" s="32"/>
      <c r="O279" s="6"/>
      <c r="P279" s="6"/>
      <c r="Q279" s="6"/>
      <c r="R279" s="6"/>
      <c r="S279" s="32"/>
      <c r="T279" s="32"/>
      <c r="U279" s="6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ht="15.75" customHeight="1">
      <c r="D280" s="34"/>
      <c r="E280" s="24"/>
      <c r="F280" s="32"/>
      <c r="G280" s="32"/>
      <c r="H280" s="32"/>
      <c r="I280" s="32"/>
      <c r="J280" s="32"/>
      <c r="K280" s="32"/>
      <c r="L280" s="32"/>
      <c r="M280" s="32"/>
      <c r="N280" s="32"/>
      <c r="O280" s="6"/>
      <c r="P280" s="6"/>
      <c r="Q280" s="6"/>
      <c r="R280" s="6"/>
      <c r="S280" s="32"/>
      <c r="T280" s="32"/>
      <c r="U280" s="6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ht="15.75" customHeight="1">
      <c r="D281" s="34"/>
      <c r="E281" s="24"/>
      <c r="F281" s="32"/>
      <c r="G281" s="32"/>
      <c r="H281" s="32"/>
      <c r="I281" s="32"/>
      <c r="J281" s="32"/>
      <c r="K281" s="32"/>
      <c r="L281" s="32"/>
      <c r="M281" s="32"/>
      <c r="N281" s="32"/>
      <c r="O281" s="6"/>
      <c r="P281" s="6"/>
      <c r="Q281" s="6"/>
      <c r="R281" s="6"/>
      <c r="S281" s="32"/>
      <c r="T281" s="32"/>
      <c r="U281" s="6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ht="15.75" customHeight="1">
      <c r="D282" s="34"/>
      <c r="E282" s="24"/>
      <c r="F282" s="32"/>
      <c r="G282" s="32"/>
      <c r="H282" s="32"/>
      <c r="I282" s="32"/>
      <c r="J282" s="32"/>
      <c r="K282" s="32"/>
      <c r="L282" s="32"/>
      <c r="M282" s="32"/>
      <c r="N282" s="32"/>
      <c r="O282" s="6"/>
      <c r="P282" s="6"/>
      <c r="Q282" s="6"/>
      <c r="R282" s="6"/>
      <c r="S282" s="32"/>
      <c r="T282" s="32"/>
      <c r="U282" s="6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ht="15.75" customHeight="1">
      <c r="D283" s="34"/>
      <c r="E283" s="24"/>
      <c r="F283" s="32"/>
      <c r="G283" s="32"/>
      <c r="H283" s="32"/>
      <c r="I283" s="32"/>
      <c r="J283" s="32"/>
      <c r="K283" s="32"/>
      <c r="L283" s="32"/>
      <c r="M283" s="32"/>
      <c r="N283" s="32"/>
      <c r="O283" s="6"/>
      <c r="P283" s="6"/>
      <c r="Q283" s="6"/>
      <c r="R283" s="6"/>
      <c r="S283" s="32"/>
      <c r="T283" s="32"/>
      <c r="U283" s="6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ht="15.75" customHeight="1">
      <c r="D284" s="34"/>
      <c r="E284" s="24"/>
      <c r="F284" s="32"/>
      <c r="G284" s="32"/>
      <c r="H284" s="32"/>
      <c r="I284" s="32"/>
      <c r="J284" s="32"/>
      <c r="K284" s="32"/>
      <c r="L284" s="32"/>
      <c r="M284" s="32"/>
      <c r="N284" s="32"/>
      <c r="O284" s="6"/>
      <c r="P284" s="6"/>
      <c r="Q284" s="6"/>
      <c r="R284" s="6"/>
      <c r="S284" s="32"/>
      <c r="T284" s="32"/>
      <c r="U284" s="6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ht="15.75" customHeight="1">
      <c r="D285" s="34"/>
      <c r="E285" s="24"/>
      <c r="F285" s="32"/>
      <c r="G285" s="32"/>
      <c r="H285" s="32"/>
      <c r="I285" s="32"/>
      <c r="J285" s="32"/>
      <c r="K285" s="32"/>
      <c r="L285" s="32"/>
      <c r="M285" s="32"/>
      <c r="N285" s="32"/>
      <c r="O285" s="6"/>
      <c r="P285" s="6"/>
      <c r="Q285" s="6"/>
      <c r="R285" s="6"/>
      <c r="S285" s="32"/>
      <c r="T285" s="32"/>
      <c r="U285" s="6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ht="15.75" customHeight="1">
      <c r="D286" s="34"/>
      <c r="E286" s="24"/>
      <c r="F286" s="32"/>
      <c r="G286" s="32"/>
      <c r="H286" s="32"/>
      <c r="I286" s="32"/>
      <c r="J286" s="32"/>
      <c r="K286" s="32"/>
      <c r="L286" s="32"/>
      <c r="M286" s="32"/>
      <c r="N286" s="32"/>
      <c r="O286" s="6"/>
      <c r="P286" s="6"/>
      <c r="Q286" s="6"/>
      <c r="R286" s="6"/>
      <c r="S286" s="32"/>
      <c r="T286" s="32"/>
      <c r="U286" s="6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ht="15.75" customHeight="1">
      <c r="D287" s="34"/>
      <c r="E287" s="24"/>
      <c r="F287" s="32"/>
      <c r="G287" s="32"/>
      <c r="H287" s="32"/>
      <c r="I287" s="32"/>
      <c r="J287" s="32"/>
      <c r="K287" s="32"/>
      <c r="L287" s="32"/>
      <c r="M287" s="32"/>
      <c r="N287" s="32"/>
      <c r="O287" s="6"/>
      <c r="P287" s="6"/>
      <c r="Q287" s="6"/>
      <c r="R287" s="6"/>
      <c r="S287" s="32"/>
      <c r="T287" s="32"/>
      <c r="U287" s="6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ht="15.75" customHeight="1">
      <c r="D288" s="34"/>
      <c r="E288" s="24"/>
      <c r="F288" s="32"/>
      <c r="G288" s="32"/>
      <c r="H288" s="32"/>
      <c r="I288" s="32"/>
      <c r="J288" s="32"/>
      <c r="K288" s="32"/>
      <c r="L288" s="32"/>
      <c r="M288" s="32"/>
      <c r="N288" s="32"/>
      <c r="O288" s="6"/>
      <c r="P288" s="6"/>
      <c r="Q288" s="6"/>
      <c r="R288" s="6"/>
      <c r="S288" s="32"/>
      <c r="T288" s="32"/>
      <c r="U288" s="6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ht="15.75" customHeight="1">
      <c r="D289" s="34"/>
      <c r="E289" s="24"/>
      <c r="F289" s="32"/>
      <c r="G289" s="32"/>
      <c r="H289" s="32"/>
      <c r="I289" s="32"/>
      <c r="J289" s="32"/>
      <c r="K289" s="32"/>
      <c r="L289" s="32"/>
      <c r="M289" s="32"/>
      <c r="N289" s="32"/>
      <c r="O289" s="6"/>
      <c r="P289" s="6"/>
      <c r="Q289" s="6"/>
      <c r="R289" s="6"/>
      <c r="S289" s="32"/>
      <c r="T289" s="32"/>
      <c r="U289" s="6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ht="15.75" customHeight="1">
      <c r="D290" s="34"/>
      <c r="E290" s="24"/>
      <c r="F290" s="32"/>
      <c r="G290" s="32"/>
      <c r="H290" s="32"/>
      <c r="I290" s="32"/>
      <c r="J290" s="32"/>
      <c r="K290" s="32"/>
      <c r="L290" s="32"/>
      <c r="M290" s="32"/>
      <c r="N290" s="32"/>
      <c r="O290" s="6"/>
      <c r="P290" s="6"/>
      <c r="Q290" s="6"/>
      <c r="R290" s="6"/>
      <c r="S290" s="32"/>
      <c r="T290" s="32"/>
      <c r="U290" s="6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ht="15.75" customHeight="1">
      <c r="D291" s="34"/>
      <c r="E291" s="24"/>
      <c r="F291" s="32"/>
      <c r="G291" s="32"/>
      <c r="H291" s="32"/>
      <c r="I291" s="32"/>
      <c r="J291" s="32"/>
      <c r="K291" s="32"/>
      <c r="L291" s="32"/>
      <c r="M291" s="32"/>
      <c r="N291" s="32"/>
      <c r="O291" s="6"/>
      <c r="P291" s="6"/>
      <c r="Q291" s="6"/>
      <c r="R291" s="6"/>
      <c r="S291" s="32"/>
      <c r="T291" s="32"/>
      <c r="U291" s="6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ht="15.75" customHeight="1">
      <c r="D292" s="34"/>
      <c r="E292" s="24"/>
      <c r="F292" s="32"/>
      <c r="G292" s="32"/>
      <c r="H292" s="32"/>
      <c r="I292" s="32"/>
      <c r="J292" s="32"/>
      <c r="K292" s="32"/>
      <c r="L292" s="32"/>
      <c r="M292" s="32"/>
      <c r="N292" s="32"/>
      <c r="O292" s="6"/>
      <c r="P292" s="6"/>
      <c r="Q292" s="6"/>
      <c r="R292" s="6"/>
      <c r="S292" s="32"/>
      <c r="T292" s="32"/>
      <c r="U292" s="6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ht="15.75" customHeight="1">
      <c r="D293" s="34"/>
      <c r="E293" s="24"/>
      <c r="F293" s="32"/>
      <c r="G293" s="32"/>
      <c r="H293" s="32"/>
      <c r="I293" s="32"/>
      <c r="J293" s="32"/>
      <c r="K293" s="32"/>
      <c r="L293" s="32"/>
      <c r="M293" s="32"/>
      <c r="N293" s="32"/>
      <c r="O293" s="6"/>
      <c r="P293" s="6"/>
      <c r="Q293" s="6"/>
      <c r="R293" s="6"/>
      <c r="S293" s="32"/>
      <c r="T293" s="32"/>
      <c r="U293" s="6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ht="15.75" customHeight="1">
      <c r="D294" s="34"/>
      <c r="E294" s="24"/>
      <c r="F294" s="32"/>
      <c r="G294" s="32"/>
      <c r="H294" s="32"/>
      <c r="I294" s="32"/>
      <c r="J294" s="32"/>
      <c r="K294" s="32"/>
      <c r="L294" s="32"/>
      <c r="M294" s="32"/>
      <c r="N294" s="32"/>
      <c r="O294" s="6"/>
      <c r="P294" s="6"/>
      <c r="Q294" s="6"/>
      <c r="R294" s="6"/>
      <c r="S294" s="32"/>
      <c r="T294" s="32"/>
      <c r="U294" s="6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ht="15.75" customHeight="1">
      <c r="D295" s="34"/>
      <c r="E295" s="24"/>
      <c r="F295" s="32"/>
      <c r="G295" s="32"/>
      <c r="H295" s="32"/>
      <c r="I295" s="32"/>
      <c r="J295" s="32"/>
      <c r="K295" s="32"/>
      <c r="L295" s="32"/>
      <c r="M295" s="32"/>
      <c r="N295" s="32"/>
      <c r="O295" s="6"/>
      <c r="P295" s="6"/>
      <c r="Q295" s="6"/>
      <c r="R295" s="6"/>
      <c r="S295" s="32"/>
      <c r="T295" s="32"/>
      <c r="U295" s="6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ht="15.75" customHeight="1">
      <c r="D296" s="34"/>
      <c r="E296" s="24"/>
      <c r="F296" s="32"/>
      <c r="G296" s="32"/>
      <c r="H296" s="32"/>
      <c r="I296" s="32"/>
      <c r="J296" s="32"/>
      <c r="K296" s="32"/>
      <c r="L296" s="32"/>
      <c r="M296" s="32"/>
      <c r="N296" s="32"/>
      <c r="O296" s="6"/>
      <c r="P296" s="6"/>
      <c r="Q296" s="6"/>
      <c r="R296" s="6"/>
      <c r="S296" s="32"/>
      <c r="T296" s="32"/>
      <c r="U296" s="6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ht="15.75" customHeight="1"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6"/>
      <c r="P297" s="6"/>
      <c r="Q297" s="6"/>
      <c r="R297" s="6"/>
      <c r="S297" s="32"/>
      <c r="T297" s="32"/>
      <c r="U297" s="6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ht="15.75" customHeight="1"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6"/>
      <c r="P298" s="6"/>
      <c r="Q298" s="6"/>
      <c r="R298" s="6"/>
      <c r="S298" s="32"/>
      <c r="T298" s="32"/>
      <c r="U298" s="6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ht="15.75" customHeight="1"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6"/>
      <c r="P299" s="6"/>
      <c r="Q299" s="6"/>
      <c r="R299" s="6"/>
      <c r="S299" s="32"/>
      <c r="T299" s="32"/>
      <c r="U299" s="6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ht="15.75" customHeight="1"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6"/>
      <c r="P300" s="6"/>
      <c r="Q300" s="6"/>
      <c r="R300" s="6"/>
      <c r="S300" s="32"/>
      <c r="T300" s="32"/>
      <c r="U300" s="6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ht="15.75" customHeight="1"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6"/>
      <c r="P301" s="6"/>
      <c r="Q301" s="6"/>
      <c r="R301" s="6"/>
      <c r="S301" s="32"/>
      <c r="T301" s="32"/>
      <c r="U301" s="6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ht="15.75" customHeight="1"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6"/>
      <c r="P302" s="6"/>
      <c r="Q302" s="6"/>
      <c r="R302" s="6"/>
      <c r="S302" s="32"/>
      <c r="T302" s="32"/>
      <c r="U302" s="6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ht="15.75" customHeight="1"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6"/>
      <c r="P303" s="6"/>
      <c r="Q303" s="6"/>
      <c r="R303" s="6"/>
      <c r="S303" s="32"/>
      <c r="T303" s="32"/>
      <c r="U303" s="6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ht="15.75" customHeight="1"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6"/>
      <c r="P304" s="6"/>
      <c r="Q304" s="6"/>
      <c r="R304" s="6"/>
      <c r="S304" s="32"/>
      <c r="T304" s="32"/>
      <c r="U304" s="6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ht="15.75" customHeight="1"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6"/>
      <c r="P305" s="6"/>
      <c r="Q305" s="6"/>
      <c r="R305" s="6"/>
      <c r="S305" s="32"/>
      <c r="T305" s="32"/>
      <c r="U305" s="6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ht="15.75" customHeight="1"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6"/>
      <c r="P306" s="6"/>
      <c r="Q306" s="6"/>
      <c r="R306" s="6"/>
      <c r="S306" s="32"/>
      <c r="T306" s="32"/>
      <c r="U306" s="6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ht="15.75" customHeight="1"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6"/>
      <c r="P307" s="6"/>
      <c r="Q307" s="6"/>
      <c r="R307" s="6"/>
      <c r="S307" s="32"/>
      <c r="T307" s="32"/>
      <c r="U307" s="6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ht="15.75" customHeight="1"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6"/>
      <c r="P308" s="6"/>
      <c r="Q308" s="6"/>
      <c r="R308" s="6"/>
      <c r="S308" s="32"/>
      <c r="T308" s="32"/>
      <c r="U308" s="6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ht="15.75" customHeight="1"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6"/>
      <c r="P309" s="6"/>
      <c r="Q309" s="6"/>
      <c r="R309" s="6"/>
      <c r="S309" s="32"/>
      <c r="T309" s="32"/>
      <c r="U309" s="6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ht="15.75" customHeight="1"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6"/>
      <c r="P310" s="6"/>
      <c r="Q310" s="6"/>
      <c r="R310" s="6"/>
      <c r="S310" s="32"/>
      <c r="T310" s="32"/>
      <c r="U310" s="6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ht="15.75" customHeight="1"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6"/>
      <c r="P311" s="6"/>
      <c r="Q311" s="6"/>
      <c r="R311" s="6"/>
      <c r="S311" s="32"/>
      <c r="T311" s="32"/>
      <c r="U311" s="6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ht="15.75" customHeight="1"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6"/>
      <c r="P312" s="6"/>
      <c r="Q312" s="6"/>
      <c r="R312" s="6"/>
      <c r="S312" s="32"/>
      <c r="T312" s="32"/>
      <c r="U312" s="6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ht="15.75" customHeight="1"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6"/>
      <c r="P313" s="6"/>
      <c r="Q313" s="6"/>
      <c r="R313" s="6"/>
      <c r="S313" s="32"/>
      <c r="T313" s="32"/>
      <c r="U313" s="6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ht="15.75" customHeight="1"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6"/>
      <c r="P314" s="6"/>
      <c r="Q314" s="6"/>
      <c r="R314" s="6"/>
      <c r="S314" s="32"/>
      <c r="T314" s="32"/>
      <c r="U314" s="6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ht="15.75" customHeight="1"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6"/>
      <c r="P315" s="6"/>
      <c r="Q315" s="6"/>
      <c r="R315" s="6"/>
      <c r="S315" s="32"/>
      <c r="T315" s="32"/>
      <c r="U315" s="6"/>
      <c r="W315" s="32"/>
      <c r="X315" s="32"/>
      <c r="Y315" s="32"/>
      <c r="Z315" s="32"/>
      <c r="AA315" s="32"/>
      <c r="AB315" s="32"/>
      <c r="AC315" s="32"/>
      <c r="AD315" s="32"/>
      <c r="AE315" s="32"/>
    </row>
    <row r="316" ht="15.75" customHeight="1"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6"/>
      <c r="P316" s="6"/>
      <c r="Q316" s="6"/>
      <c r="R316" s="6"/>
      <c r="S316" s="32"/>
      <c r="T316" s="32"/>
      <c r="U316" s="6"/>
      <c r="W316" s="32"/>
      <c r="X316" s="32"/>
      <c r="Y316" s="32"/>
      <c r="Z316" s="32"/>
      <c r="AA316" s="32"/>
      <c r="AB316" s="32"/>
      <c r="AC316" s="32"/>
      <c r="AD316" s="32"/>
      <c r="AE316" s="32"/>
    </row>
    <row r="317" ht="15.75" customHeight="1"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6"/>
      <c r="P317" s="6"/>
      <c r="Q317" s="6"/>
      <c r="R317" s="6"/>
      <c r="S317" s="32"/>
      <c r="T317" s="32"/>
      <c r="U317" s="6"/>
      <c r="W317" s="32"/>
      <c r="X317" s="32"/>
      <c r="Y317" s="32"/>
      <c r="Z317" s="32"/>
      <c r="AA317" s="32"/>
      <c r="AB317" s="32"/>
      <c r="AC317" s="32"/>
      <c r="AD317" s="32"/>
      <c r="AE317" s="32"/>
    </row>
    <row r="318" ht="15.75" customHeight="1"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6"/>
      <c r="P318" s="6"/>
      <c r="Q318" s="6"/>
      <c r="R318" s="6"/>
      <c r="S318" s="32"/>
      <c r="T318" s="32"/>
      <c r="U318" s="6"/>
      <c r="W318" s="32"/>
      <c r="X318" s="32"/>
      <c r="Y318" s="32"/>
      <c r="Z318" s="32"/>
      <c r="AA318" s="32"/>
      <c r="AB318" s="32"/>
      <c r="AC318" s="32"/>
      <c r="AD318" s="32"/>
      <c r="AE318" s="32"/>
    </row>
    <row r="319" ht="15.75" customHeight="1"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6"/>
      <c r="P319" s="6"/>
      <c r="Q319" s="6"/>
      <c r="R319" s="6"/>
      <c r="S319" s="32"/>
      <c r="T319" s="32"/>
      <c r="U319" s="6"/>
      <c r="W319" s="32"/>
      <c r="X319" s="32"/>
      <c r="Y319" s="32"/>
      <c r="Z319" s="32"/>
      <c r="AA319" s="32"/>
      <c r="AB319" s="32"/>
      <c r="AC319" s="32"/>
      <c r="AD319" s="32"/>
      <c r="AE319" s="32"/>
    </row>
    <row r="320" ht="15.75" customHeight="1"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6"/>
      <c r="P320" s="6"/>
      <c r="Q320" s="6"/>
      <c r="R320" s="6"/>
      <c r="S320" s="32"/>
      <c r="T320" s="32"/>
      <c r="U320" s="6"/>
      <c r="W320" s="32"/>
      <c r="X320" s="32"/>
      <c r="Y320" s="32"/>
      <c r="Z320" s="32"/>
      <c r="AA320" s="32"/>
      <c r="AB320" s="32"/>
      <c r="AC320" s="32"/>
      <c r="AD320" s="32"/>
      <c r="AE320" s="32"/>
    </row>
    <row r="321" ht="15.75" customHeight="1"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6"/>
      <c r="P321" s="6"/>
      <c r="Q321" s="6"/>
      <c r="R321" s="6"/>
      <c r="S321" s="32"/>
      <c r="T321" s="32"/>
      <c r="U321" s="6"/>
      <c r="W321" s="32"/>
      <c r="X321" s="32"/>
      <c r="Y321" s="32"/>
      <c r="Z321" s="32"/>
      <c r="AA321" s="32"/>
      <c r="AB321" s="32"/>
      <c r="AC321" s="32"/>
      <c r="AD321" s="32"/>
      <c r="AE321" s="32"/>
    </row>
    <row r="322" ht="15.75" customHeight="1"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6"/>
      <c r="P322" s="6"/>
      <c r="Q322" s="6"/>
      <c r="R322" s="6"/>
      <c r="S322" s="32"/>
      <c r="T322" s="32"/>
      <c r="U322" s="6"/>
      <c r="W322" s="32"/>
      <c r="X322" s="32"/>
      <c r="Y322" s="32"/>
      <c r="Z322" s="32"/>
      <c r="AA322" s="32"/>
      <c r="AB322" s="32"/>
      <c r="AC322" s="32"/>
      <c r="AD322" s="32"/>
      <c r="AE322" s="32"/>
    </row>
    <row r="323" ht="15.75" customHeight="1"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6"/>
      <c r="P323" s="6"/>
      <c r="Q323" s="6"/>
      <c r="R323" s="6"/>
      <c r="S323" s="32"/>
      <c r="T323" s="32"/>
      <c r="U323" s="6"/>
      <c r="W323" s="32"/>
      <c r="X323" s="32"/>
      <c r="Y323" s="32"/>
      <c r="Z323" s="32"/>
      <c r="AA323" s="32"/>
      <c r="AB323" s="32"/>
      <c r="AC323" s="32"/>
      <c r="AD323" s="32"/>
      <c r="AE323" s="32"/>
    </row>
    <row r="324" ht="15.75" customHeight="1"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6"/>
      <c r="P324" s="6"/>
      <c r="Q324" s="6"/>
      <c r="R324" s="6"/>
      <c r="S324" s="32"/>
      <c r="T324" s="32"/>
      <c r="U324" s="6"/>
      <c r="W324" s="32"/>
      <c r="X324" s="32"/>
      <c r="Y324" s="32"/>
      <c r="Z324" s="32"/>
      <c r="AA324" s="32"/>
      <c r="AB324" s="32"/>
      <c r="AC324" s="32"/>
      <c r="AD324" s="32"/>
      <c r="AE324" s="32"/>
    </row>
    <row r="325" ht="15.75" customHeight="1"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6"/>
      <c r="P325" s="6"/>
      <c r="Q325" s="6"/>
      <c r="R325" s="6"/>
      <c r="S325" s="32"/>
      <c r="T325" s="32"/>
      <c r="U325" s="6"/>
      <c r="W325" s="32"/>
      <c r="X325" s="32"/>
      <c r="Y325" s="32"/>
      <c r="Z325" s="32"/>
      <c r="AA325" s="32"/>
      <c r="AB325" s="32"/>
      <c r="AC325" s="32"/>
      <c r="AD325" s="32"/>
      <c r="AE325" s="32"/>
    </row>
    <row r="326" ht="15.75" customHeight="1"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6"/>
      <c r="P326" s="6"/>
      <c r="Q326" s="6"/>
      <c r="R326" s="6"/>
      <c r="S326" s="32"/>
      <c r="T326" s="32"/>
      <c r="U326" s="6"/>
      <c r="W326" s="32"/>
      <c r="X326" s="32"/>
      <c r="Y326" s="32"/>
      <c r="Z326" s="32"/>
      <c r="AA326" s="32"/>
      <c r="AB326" s="32"/>
      <c r="AC326" s="32"/>
      <c r="AD326" s="32"/>
      <c r="AE326" s="32"/>
    </row>
    <row r="327" ht="15.75" customHeight="1"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6"/>
      <c r="P327" s="6"/>
      <c r="Q327" s="6"/>
      <c r="R327" s="6"/>
      <c r="S327" s="32"/>
      <c r="T327" s="32"/>
      <c r="U327" s="6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ht="15.75" customHeight="1"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6"/>
      <c r="P328" s="6"/>
      <c r="Q328" s="6"/>
      <c r="R328" s="6"/>
      <c r="S328" s="32"/>
      <c r="T328" s="32"/>
      <c r="U328" s="6"/>
      <c r="W328" s="32"/>
      <c r="X328" s="32"/>
      <c r="Y328" s="32"/>
      <c r="Z328" s="32"/>
      <c r="AA328" s="32"/>
      <c r="AB328" s="32"/>
      <c r="AC328" s="32"/>
      <c r="AD328" s="32"/>
      <c r="AE328" s="32"/>
    </row>
    <row r="329" ht="15.75" customHeight="1"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6"/>
      <c r="P329" s="6"/>
      <c r="Q329" s="6"/>
      <c r="R329" s="6"/>
      <c r="S329" s="32"/>
      <c r="T329" s="32"/>
      <c r="U329" s="6"/>
      <c r="W329" s="32"/>
      <c r="X329" s="32"/>
      <c r="Y329" s="32"/>
      <c r="Z329" s="32"/>
      <c r="AA329" s="32"/>
      <c r="AB329" s="32"/>
      <c r="AC329" s="32"/>
      <c r="AD329" s="32"/>
      <c r="AE329" s="32"/>
    </row>
    <row r="330" ht="15.75" customHeight="1"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6"/>
      <c r="P330" s="6"/>
      <c r="Q330" s="6"/>
      <c r="R330" s="6"/>
      <c r="S330" s="32"/>
      <c r="T330" s="32"/>
      <c r="U330" s="6"/>
      <c r="W330" s="32"/>
      <c r="X330" s="32"/>
      <c r="Y330" s="32"/>
      <c r="Z330" s="32"/>
      <c r="AA330" s="32"/>
      <c r="AB330" s="32"/>
      <c r="AC330" s="32"/>
      <c r="AD330" s="32"/>
      <c r="AE330" s="32"/>
    </row>
    <row r="331" ht="15.75" customHeight="1"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6"/>
      <c r="P331" s="6"/>
      <c r="Q331" s="6"/>
      <c r="R331" s="6"/>
      <c r="S331" s="32"/>
      <c r="T331" s="32"/>
      <c r="U331" s="6"/>
      <c r="W331" s="32"/>
      <c r="X331" s="32"/>
      <c r="Y331" s="32"/>
      <c r="Z331" s="32"/>
      <c r="AA331" s="32"/>
      <c r="AB331" s="32"/>
      <c r="AC331" s="32"/>
      <c r="AD331" s="32"/>
      <c r="AE331" s="32"/>
    </row>
    <row r="332" ht="15.75" customHeight="1"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6"/>
      <c r="P332" s="6"/>
      <c r="Q332" s="6"/>
      <c r="R332" s="6"/>
      <c r="S332" s="32"/>
      <c r="T332" s="32"/>
      <c r="U332" s="6"/>
      <c r="W332" s="32"/>
      <c r="X332" s="32"/>
      <c r="Y332" s="32"/>
      <c r="Z332" s="32"/>
      <c r="AA332" s="32"/>
      <c r="AB332" s="32"/>
      <c r="AC332" s="32"/>
      <c r="AD332" s="32"/>
      <c r="AE332" s="32"/>
    </row>
    <row r="333" ht="15.75" customHeight="1"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6"/>
      <c r="P333" s="6"/>
      <c r="Q333" s="6"/>
      <c r="R333" s="6"/>
      <c r="S333" s="32"/>
      <c r="T333" s="32"/>
      <c r="U333" s="6"/>
      <c r="W333" s="32"/>
      <c r="X333" s="32"/>
      <c r="Y333" s="32"/>
      <c r="Z333" s="32"/>
      <c r="AA333" s="32"/>
      <c r="AB333" s="32"/>
      <c r="AC333" s="32"/>
      <c r="AD333" s="32"/>
      <c r="AE333" s="32"/>
    </row>
    <row r="334" ht="15.75" customHeight="1"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6"/>
      <c r="P334" s="6"/>
      <c r="Q334" s="6"/>
      <c r="R334" s="6"/>
      <c r="S334" s="32"/>
      <c r="T334" s="32"/>
      <c r="U334" s="6"/>
      <c r="W334" s="32"/>
      <c r="X334" s="32"/>
      <c r="Y334" s="32"/>
      <c r="Z334" s="32"/>
      <c r="AA334" s="32"/>
      <c r="AB334" s="32"/>
      <c r="AC334" s="32"/>
      <c r="AD334" s="32"/>
      <c r="AE334" s="32"/>
    </row>
    <row r="335" ht="15.75" customHeight="1"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6"/>
      <c r="P335" s="6"/>
      <c r="Q335" s="6"/>
      <c r="R335" s="6"/>
      <c r="S335" s="32"/>
      <c r="T335" s="32"/>
      <c r="U335" s="6"/>
      <c r="W335" s="32"/>
      <c r="X335" s="32"/>
      <c r="Y335" s="32"/>
      <c r="Z335" s="32"/>
      <c r="AA335" s="32"/>
      <c r="AB335" s="32"/>
      <c r="AC335" s="32"/>
      <c r="AD335" s="32"/>
      <c r="AE335" s="32"/>
    </row>
    <row r="336" ht="15.75" customHeight="1"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6"/>
      <c r="P336" s="6"/>
      <c r="Q336" s="6"/>
      <c r="R336" s="6"/>
      <c r="S336" s="32"/>
      <c r="T336" s="32"/>
      <c r="U336" s="6"/>
      <c r="W336" s="32"/>
      <c r="X336" s="32"/>
      <c r="Y336" s="32"/>
      <c r="Z336" s="32"/>
      <c r="AA336" s="32"/>
      <c r="AB336" s="32"/>
      <c r="AC336" s="32"/>
      <c r="AD336" s="32"/>
      <c r="AE336" s="32"/>
    </row>
    <row r="337" ht="15.75" customHeight="1"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6"/>
      <c r="P337" s="6"/>
      <c r="Q337" s="6"/>
      <c r="R337" s="6"/>
      <c r="S337" s="32"/>
      <c r="T337" s="32"/>
      <c r="U337" s="6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ht="15.75" customHeight="1"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6"/>
      <c r="P338" s="6"/>
      <c r="Q338" s="6"/>
      <c r="R338" s="6"/>
      <c r="S338" s="32"/>
      <c r="T338" s="32"/>
      <c r="U338" s="6"/>
      <c r="W338" s="32"/>
      <c r="X338" s="32"/>
      <c r="Y338" s="32"/>
      <c r="Z338" s="32"/>
      <c r="AA338" s="32"/>
      <c r="AB338" s="32"/>
      <c r="AC338" s="32"/>
      <c r="AD338" s="32"/>
      <c r="AE338" s="32"/>
    </row>
    <row r="339" ht="15.75" customHeight="1"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6"/>
      <c r="P339" s="6"/>
      <c r="Q339" s="6"/>
      <c r="R339" s="6"/>
      <c r="S339" s="32"/>
      <c r="T339" s="32"/>
      <c r="U339" s="6"/>
      <c r="W339" s="32"/>
      <c r="X339" s="32"/>
      <c r="Y339" s="32"/>
      <c r="Z339" s="32"/>
      <c r="AA339" s="32"/>
      <c r="AB339" s="32"/>
      <c r="AC339" s="32"/>
      <c r="AD339" s="32"/>
      <c r="AE339" s="32"/>
    </row>
    <row r="340" ht="15.75" customHeight="1"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6"/>
      <c r="P340" s="6"/>
      <c r="Q340" s="6"/>
      <c r="R340" s="6"/>
      <c r="S340" s="32"/>
      <c r="T340" s="32"/>
      <c r="U340" s="6"/>
      <c r="W340" s="32"/>
      <c r="X340" s="32"/>
      <c r="Y340" s="32"/>
      <c r="Z340" s="32"/>
      <c r="AA340" s="32"/>
      <c r="AB340" s="32"/>
      <c r="AC340" s="32"/>
      <c r="AD340" s="32"/>
      <c r="AE340" s="32"/>
    </row>
    <row r="341" ht="15.75" customHeight="1"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6"/>
      <c r="P341" s="6"/>
      <c r="Q341" s="6"/>
      <c r="R341" s="6"/>
      <c r="S341" s="32"/>
      <c r="T341" s="32"/>
      <c r="U341" s="6"/>
      <c r="W341" s="32"/>
      <c r="X341" s="32"/>
      <c r="Y341" s="32"/>
      <c r="Z341" s="32"/>
      <c r="AA341" s="32"/>
      <c r="AB341" s="32"/>
      <c r="AC341" s="32"/>
      <c r="AD341" s="32"/>
      <c r="AE341" s="32"/>
    </row>
    <row r="342" ht="15.75" customHeight="1"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6"/>
      <c r="P342" s="6"/>
      <c r="Q342" s="6"/>
      <c r="R342" s="6"/>
      <c r="S342" s="32"/>
      <c r="T342" s="32"/>
      <c r="U342" s="6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ht="15.75" customHeight="1"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6"/>
      <c r="P343" s="6"/>
      <c r="Q343" s="6"/>
      <c r="R343" s="6"/>
      <c r="S343" s="32"/>
      <c r="T343" s="32"/>
      <c r="U343" s="6"/>
      <c r="W343" s="32"/>
      <c r="X343" s="32"/>
      <c r="Y343" s="32"/>
      <c r="Z343" s="32"/>
      <c r="AA343" s="32"/>
      <c r="AB343" s="32"/>
      <c r="AC343" s="32"/>
      <c r="AD343" s="32"/>
      <c r="AE343" s="32"/>
    </row>
    <row r="344" ht="15.75" customHeight="1"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6"/>
      <c r="P344" s="6"/>
      <c r="Q344" s="6"/>
      <c r="R344" s="6"/>
      <c r="S344" s="32"/>
      <c r="T344" s="32"/>
      <c r="U344" s="6"/>
      <c r="W344" s="32"/>
      <c r="X344" s="32"/>
      <c r="Y344" s="32"/>
      <c r="Z344" s="32"/>
      <c r="AA344" s="32"/>
      <c r="AB344" s="32"/>
      <c r="AC344" s="32"/>
      <c r="AD344" s="32"/>
      <c r="AE344" s="32"/>
    </row>
    <row r="345" ht="15.75" customHeight="1"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6"/>
      <c r="P345" s="6"/>
      <c r="Q345" s="6"/>
      <c r="R345" s="6"/>
      <c r="S345" s="32"/>
      <c r="T345" s="32"/>
      <c r="U345" s="6"/>
      <c r="W345" s="32"/>
      <c r="X345" s="32"/>
      <c r="Y345" s="32"/>
      <c r="Z345" s="32"/>
      <c r="AA345" s="32"/>
      <c r="AB345" s="32"/>
      <c r="AC345" s="32"/>
      <c r="AD345" s="32"/>
      <c r="AE345" s="32"/>
    </row>
    <row r="346" ht="15.75" customHeight="1"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6"/>
      <c r="P346" s="6"/>
      <c r="Q346" s="6"/>
      <c r="R346" s="6"/>
      <c r="S346" s="32"/>
      <c r="T346" s="32"/>
      <c r="U346" s="6"/>
      <c r="W346" s="32"/>
      <c r="X346" s="32"/>
      <c r="Y346" s="32"/>
      <c r="Z346" s="32"/>
      <c r="AA346" s="32"/>
      <c r="AB346" s="32"/>
      <c r="AC346" s="32"/>
      <c r="AD346" s="32"/>
      <c r="AE346" s="32"/>
    </row>
    <row r="347" ht="15.75" customHeight="1"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6"/>
      <c r="P347" s="6"/>
      <c r="Q347" s="6"/>
      <c r="R347" s="6"/>
      <c r="S347" s="32"/>
      <c r="T347" s="32"/>
      <c r="U347" s="6"/>
      <c r="W347" s="32"/>
      <c r="X347" s="32"/>
      <c r="Y347" s="32"/>
      <c r="Z347" s="32"/>
      <c r="AA347" s="32"/>
      <c r="AB347" s="32"/>
      <c r="AC347" s="32"/>
      <c r="AD347" s="32"/>
      <c r="AE347" s="32"/>
    </row>
    <row r="348" ht="15.75" customHeight="1"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6"/>
      <c r="P348" s="6"/>
      <c r="Q348" s="6"/>
      <c r="R348" s="6"/>
      <c r="S348" s="32"/>
      <c r="T348" s="32"/>
      <c r="U348" s="6"/>
      <c r="W348" s="32"/>
      <c r="X348" s="32"/>
      <c r="Y348" s="32"/>
      <c r="Z348" s="32"/>
      <c r="AA348" s="32"/>
      <c r="AB348" s="32"/>
      <c r="AC348" s="32"/>
      <c r="AD348" s="32"/>
      <c r="AE348" s="32"/>
    </row>
    <row r="349" ht="15.75" customHeight="1"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6"/>
      <c r="P349" s="6"/>
      <c r="Q349" s="6"/>
      <c r="R349" s="6"/>
      <c r="S349" s="32"/>
      <c r="T349" s="32"/>
      <c r="U349" s="6"/>
      <c r="W349" s="32"/>
      <c r="X349" s="32"/>
      <c r="Y349" s="32"/>
      <c r="Z349" s="32"/>
      <c r="AA349" s="32"/>
      <c r="AB349" s="32"/>
      <c r="AC349" s="32"/>
      <c r="AD349" s="32"/>
      <c r="AE349" s="32"/>
    </row>
    <row r="350" ht="15.75" customHeight="1"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6"/>
      <c r="P350" s="6"/>
      <c r="Q350" s="6"/>
      <c r="R350" s="6"/>
      <c r="S350" s="32"/>
      <c r="T350" s="32"/>
      <c r="U350" s="6"/>
      <c r="W350" s="32"/>
      <c r="X350" s="32"/>
      <c r="Y350" s="32"/>
      <c r="Z350" s="32"/>
      <c r="AA350" s="32"/>
      <c r="AB350" s="32"/>
      <c r="AC350" s="32"/>
      <c r="AD350" s="32"/>
      <c r="AE350" s="32"/>
    </row>
    <row r="351" ht="15.75" customHeight="1"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6"/>
      <c r="P351" s="6"/>
      <c r="Q351" s="6"/>
      <c r="R351" s="6"/>
      <c r="S351" s="32"/>
      <c r="T351" s="32"/>
      <c r="U351" s="6"/>
      <c r="W351" s="32"/>
      <c r="X351" s="32"/>
      <c r="Y351" s="32"/>
      <c r="Z351" s="32"/>
      <c r="AA351" s="32"/>
      <c r="AB351" s="32"/>
      <c r="AC351" s="32"/>
      <c r="AD351" s="32"/>
      <c r="AE351" s="32"/>
    </row>
    <row r="352" ht="15.75" customHeight="1"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6"/>
      <c r="P352" s="6"/>
      <c r="Q352" s="6"/>
      <c r="R352" s="6"/>
      <c r="S352" s="32"/>
      <c r="T352" s="32"/>
      <c r="U352" s="6"/>
      <c r="W352" s="32"/>
      <c r="X352" s="32"/>
      <c r="Y352" s="32"/>
      <c r="Z352" s="32"/>
      <c r="AA352" s="32"/>
      <c r="AB352" s="32"/>
      <c r="AC352" s="32"/>
      <c r="AD352" s="32"/>
      <c r="AE352" s="32"/>
    </row>
    <row r="353" ht="15.75" customHeight="1"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6"/>
      <c r="P353" s="6"/>
      <c r="Q353" s="6"/>
      <c r="R353" s="6"/>
      <c r="S353" s="32"/>
      <c r="T353" s="32"/>
      <c r="U353" s="6"/>
      <c r="W353" s="32"/>
      <c r="X353" s="32"/>
      <c r="Y353" s="32"/>
      <c r="Z353" s="32"/>
      <c r="AA353" s="32"/>
      <c r="AB353" s="32"/>
      <c r="AC353" s="32"/>
      <c r="AD353" s="32"/>
      <c r="AE353" s="32"/>
    </row>
    <row r="354" ht="15.75" customHeight="1"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6"/>
      <c r="P354" s="6"/>
      <c r="Q354" s="6"/>
      <c r="R354" s="6"/>
      <c r="S354" s="32"/>
      <c r="T354" s="32"/>
      <c r="U354" s="6"/>
      <c r="W354" s="32"/>
      <c r="X354" s="32"/>
      <c r="Y354" s="32"/>
      <c r="Z354" s="32"/>
      <c r="AA354" s="32"/>
      <c r="AB354" s="32"/>
      <c r="AC354" s="32"/>
      <c r="AD354" s="32"/>
      <c r="AE354" s="32"/>
    </row>
    <row r="355" ht="15.75" customHeight="1"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6"/>
      <c r="P355" s="6"/>
      <c r="Q355" s="6"/>
      <c r="R355" s="6"/>
      <c r="S355" s="32"/>
      <c r="T355" s="32"/>
      <c r="U355" s="6"/>
      <c r="W355" s="32"/>
      <c r="X355" s="32"/>
      <c r="Y355" s="32"/>
      <c r="Z355" s="32"/>
      <c r="AA355" s="32"/>
      <c r="AB355" s="32"/>
      <c r="AC355" s="32"/>
      <c r="AD355" s="32"/>
      <c r="AE355" s="32"/>
    </row>
    <row r="356" ht="15.75" customHeight="1"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6"/>
      <c r="P356" s="6"/>
      <c r="Q356" s="6"/>
      <c r="R356" s="6"/>
      <c r="S356" s="32"/>
      <c r="T356" s="32"/>
      <c r="U356" s="6"/>
      <c r="W356" s="32"/>
      <c r="X356" s="32"/>
      <c r="Y356" s="32"/>
      <c r="Z356" s="32"/>
      <c r="AA356" s="32"/>
      <c r="AB356" s="32"/>
      <c r="AC356" s="32"/>
      <c r="AD356" s="32"/>
      <c r="AE356" s="32"/>
    </row>
    <row r="357" ht="15.75" customHeight="1"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6"/>
      <c r="P357" s="6"/>
      <c r="Q357" s="6"/>
      <c r="R357" s="6"/>
      <c r="S357" s="32"/>
      <c r="T357" s="32"/>
      <c r="U357" s="6"/>
      <c r="W357" s="32"/>
      <c r="X357" s="32"/>
      <c r="Y357" s="32"/>
      <c r="Z357" s="32"/>
      <c r="AA357" s="32"/>
      <c r="AB357" s="32"/>
      <c r="AC357" s="32"/>
      <c r="AD357" s="32"/>
      <c r="AE357" s="32"/>
    </row>
    <row r="358" ht="15.75" customHeight="1"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6"/>
      <c r="P358" s="6"/>
      <c r="Q358" s="6"/>
      <c r="R358" s="6"/>
      <c r="S358" s="32"/>
      <c r="T358" s="32"/>
      <c r="U358" s="6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ht="15.75" customHeight="1"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6"/>
      <c r="P359" s="6"/>
      <c r="Q359" s="6"/>
      <c r="R359" s="6"/>
      <c r="S359" s="32"/>
      <c r="T359" s="32"/>
      <c r="U359" s="6"/>
      <c r="W359" s="32"/>
      <c r="X359" s="32"/>
      <c r="Y359" s="32"/>
      <c r="Z359" s="32"/>
      <c r="AA359" s="32"/>
      <c r="AB359" s="32"/>
      <c r="AC359" s="32"/>
      <c r="AD359" s="32"/>
      <c r="AE359" s="32"/>
    </row>
    <row r="360" ht="15.75" customHeight="1"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6"/>
      <c r="P360" s="6"/>
      <c r="Q360" s="6"/>
      <c r="R360" s="6"/>
      <c r="S360" s="32"/>
      <c r="T360" s="32"/>
      <c r="U360" s="6"/>
      <c r="W360" s="32"/>
      <c r="X360" s="32"/>
      <c r="Y360" s="32"/>
      <c r="Z360" s="32"/>
      <c r="AA360" s="32"/>
      <c r="AB360" s="32"/>
      <c r="AC360" s="32"/>
      <c r="AD360" s="32"/>
      <c r="AE360" s="32"/>
    </row>
    <row r="361" ht="15.75" customHeight="1"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6"/>
      <c r="P361" s="6"/>
      <c r="Q361" s="6"/>
      <c r="R361" s="6"/>
      <c r="S361" s="32"/>
      <c r="T361" s="32"/>
      <c r="U361" s="6"/>
      <c r="W361" s="32"/>
      <c r="X361" s="32"/>
      <c r="Y361" s="32"/>
      <c r="Z361" s="32"/>
      <c r="AA361" s="32"/>
      <c r="AB361" s="32"/>
      <c r="AC361" s="32"/>
      <c r="AD361" s="32"/>
      <c r="AE361" s="32"/>
    </row>
    <row r="362" ht="15.75" customHeight="1"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6"/>
      <c r="P362" s="6"/>
      <c r="Q362" s="6"/>
      <c r="R362" s="6"/>
      <c r="S362" s="32"/>
      <c r="T362" s="32"/>
      <c r="U362" s="6"/>
      <c r="W362" s="32"/>
      <c r="X362" s="32"/>
      <c r="Y362" s="32"/>
      <c r="Z362" s="32"/>
      <c r="AA362" s="32"/>
      <c r="AB362" s="32"/>
      <c r="AC362" s="32"/>
      <c r="AD362" s="32"/>
      <c r="AE362" s="32"/>
    </row>
    <row r="363" ht="15.75" customHeight="1"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6"/>
      <c r="P363" s="6"/>
      <c r="Q363" s="6"/>
      <c r="R363" s="6"/>
      <c r="S363" s="32"/>
      <c r="T363" s="32"/>
      <c r="U363" s="6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ht="15.75" customHeight="1"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6"/>
      <c r="P364" s="6"/>
      <c r="Q364" s="6"/>
      <c r="R364" s="6"/>
      <c r="S364" s="32"/>
      <c r="T364" s="32"/>
      <c r="U364" s="6"/>
      <c r="W364" s="32"/>
      <c r="X364" s="32"/>
      <c r="Y364" s="32"/>
      <c r="Z364" s="32"/>
      <c r="AA364" s="32"/>
      <c r="AB364" s="32"/>
      <c r="AC364" s="32"/>
      <c r="AD364" s="32"/>
      <c r="AE364" s="32"/>
    </row>
    <row r="365" ht="15.75" customHeight="1"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6"/>
      <c r="P365" s="6"/>
      <c r="Q365" s="6"/>
      <c r="R365" s="6"/>
      <c r="S365" s="32"/>
      <c r="T365" s="32"/>
      <c r="U365" s="6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ht="15.75" customHeight="1"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6"/>
      <c r="P366" s="6"/>
      <c r="Q366" s="6"/>
      <c r="R366" s="6"/>
      <c r="S366" s="32"/>
      <c r="T366" s="32"/>
      <c r="U366" s="6"/>
      <c r="W366" s="32"/>
      <c r="X366" s="32"/>
      <c r="Y366" s="32"/>
      <c r="Z366" s="32"/>
      <c r="AA366" s="32"/>
      <c r="AB366" s="32"/>
      <c r="AC366" s="32"/>
      <c r="AD366" s="32"/>
      <c r="AE366" s="32"/>
    </row>
    <row r="367" ht="15.75" customHeight="1"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6"/>
      <c r="P367" s="6"/>
      <c r="Q367" s="6"/>
      <c r="R367" s="6"/>
      <c r="S367" s="32"/>
      <c r="T367" s="32"/>
      <c r="U367" s="6"/>
      <c r="W367" s="32"/>
      <c r="X367" s="32"/>
      <c r="Y367" s="32"/>
      <c r="Z367" s="32"/>
      <c r="AA367" s="32"/>
      <c r="AB367" s="32"/>
      <c r="AC367" s="32"/>
      <c r="AD367" s="32"/>
      <c r="AE367" s="32"/>
    </row>
    <row r="368" ht="15.75" customHeight="1"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6"/>
      <c r="P368" s="6"/>
      <c r="Q368" s="6"/>
      <c r="R368" s="6"/>
      <c r="S368" s="32"/>
      <c r="T368" s="32"/>
      <c r="U368" s="6"/>
      <c r="W368" s="32"/>
      <c r="X368" s="32"/>
      <c r="Y368" s="32"/>
      <c r="Z368" s="32"/>
      <c r="AA368" s="32"/>
      <c r="AB368" s="32"/>
      <c r="AC368" s="32"/>
      <c r="AD368" s="32"/>
      <c r="AE368" s="32"/>
    </row>
    <row r="369" ht="15.75" customHeight="1"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6"/>
      <c r="P369" s="6"/>
      <c r="Q369" s="6"/>
      <c r="R369" s="6"/>
      <c r="S369" s="32"/>
      <c r="T369" s="32"/>
      <c r="U369" s="6"/>
      <c r="W369" s="32"/>
      <c r="X369" s="32"/>
      <c r="Y369" s="32"/>
      <c r="Z369" s="32"/>
      <c r="AA369" s="32"/>
      <c r="AB369" s="32"/>
      <c r="AC369" s="32"/>
      <c r="AD369" s="32"/>
      <c r="AE369" s="32"/>
    </row>
    <row r="370" ht="15.75" customHeight="1"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6"/>
      <c r="P370" s="6"/>
      <c r="Q370" s="6"/>
      <c r="R370" s="6"/>
      <c r="S370" s="32"/>
      <c r="T370" s="32"/>
      <c r="U370" s="6"/>
      <c r="W370" s="32"/>
      <c r="X370" s="32"/>
      <c r="Y370" s="32"/>
      <c r="Z370" s="32"/>
      <c r="AA370" s="32"/>
      <c r="AB370" s="32"/>
      <c r="AC370" s="32"/>
      <c r="AD370" s="32"/>
      <c r="AE370" s="32"/>
    </row>
    <row r="371" ht="15.75" customHeight="1"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6"/>
      <c r="P371" s="6"/>
      <c r="Q371" s="6"/>
      <c r="R371" s="6"/>
      <c r="S371" s="32"/>
      <c r="T371" s="32"/>
      <c r="U371" s="6"/>
      <c r="W371" s="32"/>
      <c r="X371" s="32"/>
      <c r="Y371" s="32"/>
      <c r="Z371" s="32"/>
      <c r="AA371" s="32"/>
      <c r="AB371" s="32"/>
      <c r="AC371" s="32"/>
      <c r="AD371" s="32"/>
      <c r="AE371" s="32"/>
    </row>
    <row r="372" ht="15.75" customHeight="1"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6"/>
      <c r="P372" s="6"/>
      <c r="Q372" s="6"/>
      <c r="R372" s="6"/>
      <c r="S372" s="32"/>
      <c r="T372" s="32"/>
      <c r="U372" s="6"/>
      <c r="W372" s="32"/>
      <c r="X372" s="32"/>
      <c r="Y372" s="32"/>
      <c r="Z372" s="32"/>
      <c r="AA372" s="32"/>
      <c r="AB372" s="32"/>
      <c r="AC372" s="32"/>
      <c r="AD372" s="32"/>
      <c r="AE372" s="32"/>
    </row>
    <row r="373" ht="15.75" customHeight="1"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6"/>
      <c r="P373" s="6"/>
      <c r="Q373" s="6"/>
      <c r="R373" s="6"/>
      <c r="S373" s="32"/>
      <c r="T373" s="32"/>
      <c r="U373" s="6"/>
      <c r="W373" s="32"/>
      <c r="X373" s="32"/>
      <c r="Y373" s="32"/>
      <c r="Z373" s="32"/>
      <c r="AA373" s="32"/>
      <c r="AB373" s="32"/>
      <c r="AC373" s="32"/>
      <c r="AD373" s="32"/>
      <c r="AE373" s="32"/>
    </row>
    <row r="374" ht="15.75" customHeight="1"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6"/>
      <c r="P374" s="6"/>
      <c r="Q374" s="6"/>
      <c r="R374" s="6"/>
      <c r="S374" s="32"/>
      <c r="T374" s="32"/>
      <c r="U374" s="6"/>
      <c r="W374" s="32"/>
      <c r="X374" s="32"/>
      <c r="Y374" s="32"/>
      <c r="Z374" s="32"/>
      <c r="AA374" s="32"/>
      <c r="AB374" s="32"/>
      <c r="AC374" s="32"/>
      <c r="AD374" s="32"/>
      <c r="AE374" s="32"/>
    </row>
    <row r="375" ht="15.75" customHeight="1"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6"/>
      <c r="P375" s="6"/>
      <c r="Q375" s="6"/>
      <c r="R375" s="6"/>
      <c r="S375" s="32"/>
      <c r="T375" s="32"/>
      <c r="U375" s="6"/>
      <c r="W375" s="32"/>
      <c r="X375" s="32"/>
      <c r="Y375" s="32"/>
      <c r="Z375" s="32"/>
      <c r="AA375" s="32"/>
      <c r="AB375" s="32"/>
      <c r="AC375" s="32"/>
      <c r="AD375" s="32"/>
      <c r="AE375" s="32"/>
    </row>
    <row r="376" ht="15.75" customHeight="1"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6"/>
      <c r="P376" s="6"/>
      <c r="Q376" s="6"/>
      <c r="R376" s="6"/>
      <c r="S376" s="32"/>
      <c r="T376" s="32"/>
      <c r="U376" s="6"/>
      <c r="W376" s="32"/>
      <c r="X376" s="32"/>
      <c r="Y376" s="32"/>
      <c r="Z376" s="32"/>
      <c r="AA376" s="32"/>
      <c r="AB376" s="32"/>
      <c r="AC376" s="32"/>
      <c r="AD376" s="32"/>
      <c r="AE376" s="32"/>
    </row>
    <row r="377" ht="15.75" customHeight="1"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6"/>
      <c r="P377" s="6"/>
      <c r="Q377" s="6"/>
      <c r="R377" s="6"/>
      <c r="S377" s="32"/>
      <c r="T377" s="32"/>
      <c r="U377" s="6"/>
      <c r="W377" s="32"/>
      <c r="X377" s="32"/>
      <c r="Y377" s="32"/>
      <c r="Z377" s="32"/>
      <c r="AA377" s="32"/>
      <c r="AB377" s="32"/>
      <c r="AC377" s="32"/>
      <c r="AD377" s="32"/>
      <c r="AE377" s="32"/>
    </row>
    <row r="378" ht="15.75" customHeight="1"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6"/>
      <c r="P378" s="6"/>
      <c r="Q378" s="6"/>
      <c r="R378" s="6"/>
      <c r="S378" s="32"/>
      <c r="T378" s="32"/>
      <c r="U378" s="6"/>
      <c r="W378" s="32"/>
      <c r="X378" s="32"/>
      <c r="Y378" s="32"/>
      <c r="Z378" s="32"/>
      <c r="AA378" s="32"/>
      <c r="AB378" s="32"/>
      <c r="AC378" s="32"/>
      <c r="AD378" s="32"/>
      <c r="AE378" s="32"/>
    </row>
    <row r="379" ht="15.75" customHeight="1"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6"/>
      <c r="P379" s="6"/>
      <c r="Q379" s="6"/>
      <c r="R379" s="6"/>
      <c r="S379" s="32"/>
      <c r="T379" s="32"/>
      <c r="U379" s="6"/>
      <c r="W379" s="32"/>
      <c r="X379" s="32"/>
      <c r="Y379" s="32"/>
      <c r="Z379" s="32"/>
      <c r="AA379" s="32"/>
      <c r="AB379" s="32"/>
      <c r="AC379" s="32"/>
      <c r="AD379" s="32"/>
      <c r="AE379" s="32"/>
    </row>
    <row r="380" ht="15.75" customHeight="1"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6"/>
      <c r="P380" s="6"/>
      <c r="Q380" s="6"/>
      <c r="R380" s="6"/>
      <c r="S380" s="32"/>
      <c r="T380" s="32"/>
      <c r="U380" s="6"/>
      <c r="W380" s="32"/>
      <c r="X380" s="32"/>
      <c r="Y380" s="32"/>
      <c r="Z380" s="32"/>
      <c r="AA380" s="32"/>
      <c r="AB380" s="32"/>
      <c r="AC380" s="32"/>
      <c r="AD380" s="32"/>
      <c r="AE380" s="32"/>
    </row>
    <row r="381" ht="15.75" customHeight="1"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6"/>
      <c r="P381" s="6"/>
      <c r="Q381" s="6"/>
      <c r="R381" s="6"/>
      <c r="S381" s="32"/>
      <c r="T381" s="32"/>
      <c r="U381" s="6"/>
      <c r="W381" s="32"/>
      <c r="X381" s="32"/>
      <c r="Y381" s="32"/>
      <c r="Z381" s="32"/>
      <c r="AA381" s="32"/>
      <c r="AB381" s="32"/>
      <c r="AC381" s="32"/>
      <c r="AD381" s="32"/>
      <c r="AE381" s="32"/>
    </row>
    <row r="382" ht="15.75" customHeight="1"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6"/>
      <c r="P382" s="6"/>
      <c r="Q382" s="6"/>
      <c r="R382" s="6"/>
      <c r="S382" s="32"/>
      <c r="T382" s="32"/>
      <c r="U382" s="6"/>
      <c r="W382" s="32"/>
      <c r="X382" s="32"/>
      <c r="Y382" s="32"/>
      <c r="Z382" s="32"/>
      <c r="AA382" s="32"/>
      <c r="AB382" s="32"/>
      <c r="AC382" s="32"/>
      <c r="AD382" s="32"/>
      <c r="AE382" s="32"/>
    </row>
    <row r="383" ht="15.75" customHeight="1"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6"/>
      <c r="P383" s="6"/>
      <c r="Q383" s="6"/>
      <c r="R383" s="6"/>
      <c r="S383" s="32"/>
      <c r="T383" s="32"/>
      <c r="U383" s="6"/>
      <c r="W383" s="32"/>
      <c r="X383" s="32"/>
      <c r="Y383" s="32"/>
      <c r="Z383" s="32"/>
      <c r="AA383" s="32"/>
      <c r="AB383" s="32"/>
      <c r="AC383" s="32"/>
      <c r="AD383" s="32"/>
      <c r="AE383" s="32"/>
    </row>
    <row r="384" ht="15.75" customHeight="1"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6"/>
      <c r="P384" s="6"/>
      <c r="Q384" s="6"/>
      <c r="R384" s="6"/>
      <c r="S384" s="32"/>
      <c r="T384" s="32"/>
      <c r="U384" s="6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ht="15.75" customHeight="1"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6"/>
      <c r="P385" s="6"/>
      <c r="Q385" s="6"/>
      <c r="R385" s="6"/>
      <c r="S385" s="32"/>
      <c r="T385" s="32"/>
      <c r="U385" s="6"/>
      <c r="W385" s="32"/>
      <c r="X385" s="32"/>
      <c r="Y385" s="32"/>
      <c r="Z385" s="32"/>
      <c r="AA385" s="32"/>
      <c r="AB385" s="32"/>
      <c r="AC385" s="32"/>
      <c r="AD385" s="32"/>
      <c r="AE385" s="32"/>
    </row>
    <row r="386" ht="15.75" customHeight="1"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6"/>
      <c r="P386" s="6"/>
      <c r="Q386" s="6"/>
      <c r="R386" s="6"/>
      <c r="S386" s="32"/>
      <c r="T386" s="32"/>
      <c r="U386" s="6"/>
      <c r="W386" s="32"/>
      <c r="X386" s="32"/>
      <c r="Y386" s="32"/>
      <c r="Z386" s="32"/>
      <c r="AA386" s="32"/>
      <c r="AB386" s="32"/>
      <c r="AC386" s="32"/>
      <c r="AD386" s="32"/>
      <c r="AE386" s="32"/>
    </row>
    <row r="387" ht="15.75" customHeight="1"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6"/>
      <c r="P387" s="6"/>
      <c r="Q387" s="6"/>
      <c r="R387" s="6"/>
      <c r="S387" s="32"/>
      <c r="T387" s="32"/>
      <c r="U387" s="6"/>
      <c r="W387" s="32"/>
      <c r="X387" s="32"/>
      <c r="Y387" s="32"/>
      <c r="Z387" s="32"/>
      <c r="AA387" s="32"/>
      <c r="AB387" s="32"/>
      <c r="AC387" s="32"/>
      <c r="AD387" s="32"/>
      <c r="AE387" s="32"/>
    </row>
    <row r="388" ht="15.75" customHeight="1"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6"/>
      <c r="P388" s="6"/>
      <c r="Q388" s="6"/>
      <c r="R388" s="6"/>
      <c r="S388" s="32"/>
      <c r="T388" s="32"/>
      <c r="U388" s="6"/>
      <c r="W388" s="32"/>
      <c r="X388" s="32"/>
      <c r="Y388" s="32"/>
      <c r="Z388" s="32"/>
      <c r="AA388" s="32"/>
      <c r="AB388" s="32"/>
      <c r="AC388" s="32"/>
      <c r="AD388" s="32"/>
      <c r="AE388" s="32"/>
    </row>
    <row r="389" ht="15.75" customHeight="1"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6"/>
      <c r="P389" s="6"/>
      <c r="Q389" s="6"/>
      <c r="R389" s="6"/>
      <c r="S389" s="32"/>
      <c r="T389" s="32"/>
      <c r="U389" s="6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ht="15.75" customHeight="1"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6"/>
      <c r="P390" s="6"/>
      <c r="Q390" s="6"/>
      <c r="R390" s="6"/>
      <c r="S390" s="32"/>
      <c r="T390" s="32"/>
      <c r="U390" s="6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ht="15.75" customHeight="1"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6"/>
      <c r="P391" s="6"/>
      <c r="Q391" s="6"/>
      <c r="R391" s="6"/>
      <c r="S391" s="32"/>
      <c r="T391" s="32"/>
      <c r="U391" s="6"/>
      <c r="W391" s="32"/>
      <c r="X391" s="32"/>
      <c r="Y391" s="32"/>
      <c r="Z391" s="32"/>
      <c r="AA391" s="32"/>
      <c r="AB391" s="32"/>
      <c r="AC391" s="32"/>
      <c r="AD391" s="32"/>
      <c r="AE391" s="32"/>
    </row>
    <row r="392" ht="15.75" customHeight="1"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6"/>
      <c r="P392" s="6"/>
      <c r="Q392" s="6"/>
      <c r="R392" s="6"/>
      <c r="S392" s="32"/>
      <c r="T392" s="32"/>
      <c r="U392" s="6"/>
      <c r="W392" s="32"/>
      <c r="X392" s="32"/>
      <c r="Y392" s="32"/>
      <c r="Z392" s="32"/>
      <c r="AA392" s="32"/>
      <c r="AB392" s="32"/>
      <c r="AC392" s="32"/>
      <c r="AD392" s="32"/>
      <c r="AE392" s="32"/>
    </row>
    <row r="393" ht="15.75" customHeight="1"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6"/>
      <c r="P393" s="6"/>
      <c r="Q393" s="6"/>
      <c r="R393" s="6"/>
      <c r="S393" s="32"/>
      <c r="T393" s="32"/>
      <c r="U393" s="6"/>
      <c r="W393" s="32"/>
      <c r="X393" s="32"/>
      <c r="Y393" s="32"/>
      <c r="Z393" s="32"/>
      <c r="AA393" s="32"/>
      <c r="AB393" s="32"/>
      <c r="AC393" s="32"/>
      <c r="AD393" s="32"/>
      <c r="AE393" s="32"/>
    </row>
    <row r="394" ht="15.75" customHeight="1"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6"/>
      <c r="P394" s="6"/>
      <c r="Q394" s="6"/>
      <c r="R394" s="6"/>
      <c r="S394" s="32"/>
      <c r="T394" s="32"/>
      <c r="U394" s="6"/>
      <c r="W394" s="32"/>
      <c r="X394" s="32"/>
      <c r="Y394" s="32"/>
      <c r="Z394" s="32"/>
      <c r="AA394" s="32"/>
      <c r="AB394" s="32"/>
      <c r="AC394" s="32"/>
      <c r="AD394" s="32"/>
      <c r="AE394" s="32"/>
    </row>
    <row r="395" ht="15.75" customHeight="1"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6"/>
      <c r="P395" s="6"/>
      <c r="Q395" s="6"/>
      <c r="R395" s="6"/>
      <c r="S395" s="32"/>
      <c r="T395" s="32"/>
      <c r="U395" s="6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ht="15.75" customHeight="1"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6"/>
      <c r="P396" s="6"/>
      <c r="Q396" s="6"/>
      <c r="R396" s="6"/>
      <c r="S396" s="32"/>
      <c r="T396" s="32"/>
      <c r="U396" s="6"/>
      <c r="W396" s="32"/>
      <c r="X396" s="32"/>
      <c r="Y396" s="32"/>
      <c r="Z396" s="32"/>
      <c r="AA396" s="32"/>
      <c r="AB396" s="32"/>
      <c r="AC396" s="32"/>
      <c r="AD396" s="32"/>
      <c r="AE396" s="32"/>
    </row>
    <row r="397" ht="15.75" customHeight="1"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6"/>
      <c r="P397" s="6"/>
      <c r="Q397" s="6"/>
      <c r="R397" s="6"/>
      <c r="S397" s="32"/>
      <c r="T397" s="32"/>
      <c r="U397" s="6"/>
      <c r="W397" s="32"/>
      <c r="X397" s="32"/>
      <c r="Y397" s="32"/>
      <c r="Z397" s="32"/>
      <c r="AA397" s="32"/>
      <c r="AB397" s="32"/>
      <c r="AC397" s="32"/>
      <c r="AD397" s="32"/>
      <c r="AE397" s="32"/>
    </row>
    <row r="398" ht="15.75" customHeight="1"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6"/>
      <c r="P398" s="6"/>
      <c r="Q398" s="6"/>
      <c r="R398" s="6"/>
      <c r="S398" s="32"/>
      <c r="T398" s="32"/>
      <c r="U398" s="6"/>
      <c r="W398" s="32"/>
      <c r="X398" s="32"/>
      <c r="Y398" s="32"/>
      <c r="Z398" s="32"/>
      <c r="AA398" s="32"/>
      <c r="AB398" s="32"/>
      <c r="AC398" s="32"/>
      <c r="AD398" s="32"/>
      <c r="AE398" s="32"/>
    </row>
    <row r="399" ht="15.75" customHeight="1"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6"/>
      <c r="P399" s="6"/>
      <c r="Q399" s="6"/>
      <c r="R399" s="6"/>
      <c r="S399" s="32"/>
      <c r="T399" s="32"/>
      <c r="U399" s="6"/>
      <c r="W399" s="32"/>
      <c r="X399" s="32"/>
      <c r="Y399" s="32"/>
      <c r="Z399" s="32"/>
      <c r="AA399" s="32"/>
      <c r="AB399" s="32"/>
      <c r="AC399" s="32"/>
      <c r="AD399" s="32"/>
      <c r="AE399" s="32"/>
    </row>
    <row r="400" ht="15.75" customHeight="1"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6"/>
      <c r="P400" s="6"/>
      <c r="Q400" s="6"/>
      <c r="R400" s="6"/>
      <c r="S400" s="32"/>
      <c r="T400" s="32"/>
      <c r="U400" s="6"/>
      <c r="W400" s="32"/>
      <c r="X400" s="32"/>
      <c r="Y400" s="32"/>
      <c r="Z400" s="32"/>
      <c r="AA400" s="32"/>
      <c r="AB400" s="32"/>
      <c r="AC400" s="32"/>
      <c r="AD400" s="32"/>
      <c r="AE400" s="32"/>
    </row>
    <row r="401" ht="15.75" customHeight="1"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6"/>
      <c r="P401" s="6"/>
      <c r="Q401" s="6"/>
      <c r="R401" s="6"/>
      <c r="S401" s="32"/>
      <c r="T401" s="32"/>
      <c r="U401" s="6"/>
      <c r="W401" s="32"/>
      <c r="X401" s="32"/>
      <c r="Y401" s="32"/>
      <c r="Z401" s="32"/>
      <c r="AA401" s="32"/>
      <c r="AB401" s="32"/>
      <c r="AC401" s="32"/>
      <c r="AD401" s="32"/>
      <c r="AE401" s="32"/>
    </row>
    <row r="402" ht="15.75" customHeight="1"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6"/>
      <c r="P402" s="6"/>
      <c r="Q402" s="6"/>
      <c r="R402" s="6"/>
      <c r="S402" s="32"/>
      <c r="T402" s="32"/>
      <c r="U402" s="6"/>
      <c r="W402" s="32"/>
      <c r="X402" s="32"/>
      <c r="Y402" s="32"/>
      <c r="Z402" s="32"/>
      <c r="AA402" s="32"/>
      <c r="AB402" s="32"/>
      <c r="AC402" s="32"/>
      <c r="AD402" s="32"/>
      <c r="AE402" s="32"/>
    </row>
    <row r="403" ht="15.75" customHeight="1"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6"/>
      <c r="P403" s="6"/>
      <c r="Q403" s="6"/>
      <c r="R403" s="6"/>
      <c r="S403" s="32"/>
      <c r="T403" s="32"/>
      <c r="U403" s="6"/>
      <c r="W403" s="32"/>
      <c r="X403" s="32"/>
      <c r="Y403" s="32"/>
      <c r="Z403" s="32"/>
      <c r="AA403" s="32"/>
      <c r="AB403" s="32"/>
      <c r="AC403" s="32"/>
      <c r="AD403" s="32"/>
      <c r="AE403" s="32"/>
    </row>
    <row r="404" ht="15.75" customHeight="1"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6"/>
      <c r="P404" s="6"/>
      <c r="Q404" s="6"/>
      <c r="R404" s="6"/>
      <c r="S404" s="32"/>
      <c r="T404" s="32"/>
      <c r="U404" s="6"/>
      <c r="W404" s="32"/>
      <c r="X404" s="32"/>
      <c r="Y404" s="32"/>
      <c r="Z404" s="32"/>
      <c r="AA404" s="32"/>
      <c r="AB404" s="32"/>
      <c r="AC404" s="32"/>
      <c r="AD404" s="32"/>
      <c r="AE404" s="32"/>
    </row>
    <row r="405" ht="15.75" customHeight="1"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6"/>
      <c r="P405" s="6"/>
      <c r="Q405" s="6"/>
      <c r="R405" s="6"/>
      <c r="S405" s="32"/>
      <c r="T405" s="32"/>
      <c r="U405" s="6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ht="15.75" customHeight="1"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6"/>
      <c r="P406" s="6"/>
      <c r="Q406" s="6"/>
      <c r="R406" s="6"/>
      <c r="S406" s="32"/>
      <c r="T406" s="32"/>
      <c r="U406" s="6"/>
      <c r="W406" s="32"/>
      <c r="X406" s="32"/>
      <c r="Y406" s="32"/>
      <c r="Z406" s="32"/>
      <c r="AA406" s="32"/>
      <c r="AB406" s="32"/>
      <c r="AC406" s="32"/>
      <c r="AD406" s="32"/>
      <c r="AE406" s="32"/>
    </row>
    <row r="407" ht="15.75" customHeight="1"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6"/>
      <c r="P407" s="6"/>
      <c r="Q407" s="6"/>
      <c r="R407" s="6"/>
      <c r="S407" s="32"/>
      <c r="T407" s="32"/>
      <c r="U407" s="6"/>
      <c r="W407" s="32"/>
      <c r="X407" s="32"/>
      <c r="Y407" s="32"/>
      <c r="Z407" s="32"/>
      <c r="AA407" s="32"/>
      <c r="AB407" s="32"/>
      <c r="AC407" s="32"/>
      <c r="AD407" s="32"/>
      <c r="AE407" s="32"/>
    </row>
    <row r="408" ht="15.75" customHeight="1"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6"/>
      <c r="P408" s="6"/>
      <c r="Q408" s="6"/>
      <c r="R408" s="6"/>
      <c r="S408" s="32"/>
      <c r="T408" s="32"/>
      <c r="U408" s="6"/>
      <c r="W408" s="32"/>
      <c r="X408" s="32"/>
      <c r="Y408" s="32"/>
      <c r="Z408" s="32"/>
      <c r="AA408" s="32"/>
      <c r="AB408" s="32"/>
      <c r="AC408" s="32"/>
      <c r="AD408" s="32"/>
      <c r="AE408" s="32"/>
    </row>
    <row r="409" ht="15.75" customHeight="1"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6"/>
      <c r="P409" s="6"/>
      <c r="Q409" s="6"/>
      <c r="R409" s="6"/>
      <c r="S409" s="32"/>
      <c r="T409" s="32"/>
      <c r="U409" s="6"/>
      <c r="W409" s="32"/>
      <c r="X409" s="32"/>
      <c r="Y409" s="32"/>
      <c r="Z409" s="32"/>
      <c r="AA409" s="32"/>
      <c r="AB409" s="32"/>
      <c r="AC409" s="32"/>
      <c r="AD409" s="32"/>
      <c r="AE409" s="32"/>
    </row>
    <row r="410" ht="15.75" customHeight="1"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6"/>
      <c r="P410" s="6"/>
      <c r="Q410" s="6"/>
      <c r="R410" s="6"/>
      <c r="S410" s="32"/>
      <c r="T410" s="32"/>
      <c r="U410" s="6"/>
      <c r="W410" s="32"/>
      <c r="X410" s="32"/>
      <c r="Y410" s="32"/>
      <c r="Z410" s="32"/>
      <c r="AA410" s="32"/>
      <c r="AB410" s="32"/>
      <c r="AC410" s="32"/>
      <c r="AD410" s="32"/>
      <c r="AE410" s="32"/>
    </row>
    <row r="411" ht="15.75" customHeight="1"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6"/>
      <c r="P411" s="6"/>
      <c r="Q411" s="6"/>
      <c r="R411" s="6"/>
      <c r="S411" s="32"/>
      <c r="T411" s="32"/>
      <c r="U411" s="6"/>
      <c r="W411" s="32"/>
      <c r="X411" s="32"/>
      <c r="Y411" s="32"/>
      <c r="Z411" s="32"/>
      <c r="AA411" s="32"/>
      <c r="AB411" s="32"/>
      <c r="AC411" s="32"/>
      <c r="AD411" s="32"/>
      <c r="AE411" s="32"/>
    </row>
    <row r="412" ht="15.75" customHeight="1"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6"/>
      <c r="P412" s="6"/>
      <c r="Q412" s="6"/>
      <c r="R412" s="6"/>
      <c r="S412" s="32"/>
      <c r="T412" s="32"/>
      <c r="U412" s="6"/>
      <c r="W412" s="32"/>
      <c r="X412" s="32"/>
      <c r="Y412" s="32"/>
      <c r="Z412" s="32"/>
      <c r="AA412" s="32"/>
      <c r="AB412" s="32"/>
      <c r="AC412" s="32"/>
      <c r="AD412" s="32"/>
      <c r="AE412" s="32"/>
    </row>
    <row r="413" ht="15.75" customHeight="1"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6"/>
      <c r="P413" s="6"/>
      <c r="Q413" s="6"/>
      <c r="R413" s="6"/>
      <c r="S413" s="32"/>
      <c r="T413" s="32"/>
      <c r="U413" s="6"/>
      <c r="W413" s="32"/>
      <c r="X413" s="32"/>
      <c r="Y413" s="32"/>
      <c r="Z413" s="32"/>
      <c r="AA413" s="32"/>
      <c r="AB413" s="32"/>
      <c r="AC413" s="32"/>
      <c r="AD413" s="32"/>
      <c r="AE413" s="32"/>
    </row>
    <row r="414" ht="15.75" customHeight="1"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6"/>
      <c r="P414" s="6"/>
      <c r="Q414" s="6"/>
      <c r="R414" s="6"/>
      <c r="S414" s="32"/>
      <c r="T414" s="32"/>
      <c r="U414" s="6"/>
      <c r="W414" s="32"/>
      <c r="X414" s="32"/>
      <c r="Y414" s="32"/>
      <c r="Z414" s="32"/>
      <c r="AA414" s="32"/>
      <c r="AB414" s="32"/>
      <c r="AC414" s="32"/>
      <c r="AD414" s="32"/>
      <c r="AE414" s="32"/>
    </row>
    <row r="415" ht="15.75" customHeight="1"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6"/>
      <c r="P415" s="6"/>
      <c r="Q415" s="6"/>
      <c r="R415" s="6"/>
      <c r="S415" s="32"/>
      <c r="T415" s="32"/>
      <c r="U415" s="6"/>
      <c r="W415" s="32"/>
      <c r="X415" s="32"/>
      <c r="Y415" s="32"/>
      <c r="Z415" s="32"/>
      <c r="AA415" s="32"/>
      <c r="AB415" s="32"/>
      <c r="AC415" s="32"/>
      <c r="AD415" s="32"/>
      <c r="AE415" s="32"/>
    </row>
    <row r="416" ht="15.75" customHeight="1"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6"/>
      <c r="P416" s="6"/>
      <c r="Q416" s="6"/>
      <c r="R416" s="6"/>
      <c r="S416" s="32"/>
      <c r="T416" s="32"/>
      <c r="U416" s="6"/>
      <c r="W416" s="32"/>
      <c r="X416" s="32"/>
      <c r="Y416" s="32"/>
      <c r="Z416" s="32"/>
      <c r="AA416" s="32"/>
      <c r="AB416" s="32"/>
      <c r="AC416" s="32"/>
      <c r="AD416" s="32"/>
      <c r="AE416" s="32"/>
    </row>
    <row r="417" ht="15.75" customHeight="1"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6"/>
      <c r="P417" s="6"/>
      <c r="Q417" s="6"/>
      <c r="R417" s="6"/>
      <c r="S417" s="32"/>
      <c r="T417" s="32"/>
      <c r="U417" s="6"/>
      <c r="W417" s="32"/>
      <c r="X417" s="32"/>
      <c r="Y417" s="32"/>
      <c r="Z417" s="32"/>
      <c r="AA417" s="32"/>
      <c r="AB417" s="32"/>
      <c r="AC417" s="32"/>
      <c r="AD417" s="32"/>
      <c r="AE417" s="32"/>
    </row>
    <row r="418" ht="15.75" customHeight="1"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6"/>
      <c r="P418" s="6"/>
      <c r="Q418" s="6"/>
      <c r="R418" s="6"/>
      <c r="S418" s="32"/>
      <c r="T418" s="32"/>
      <c r="U418" s="6"/>
      <c r="W418" s="32"/>
      <c r="X418" s="32"/>
      <c r="Y418" s="32"/>
      <c r="Z418" s="32"/>
      <c r="AA418" s="32"/>
      <c r="AB418" s="32"/>
      <c r="AC418" s="32"/>
      <c r="AD418" s="32"/>
      <c r="AE418" s="32"/>
    </row>
    <row r="419" ht="15.75" customHeight="1"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6"/>
      <c r="P419" s="6"/>
      <c r="Q419" s="6"/>
      <c r="R419" s="6"/>
      <c r="S419" s="32"/>
      <c r="T419" s="32"/>
      <c r="U419" s="6"/>
      <c r="W419" s="32"/>
      <c r="X419" s="32"/>
      <c r="Y419" s="32"/>
      <c r="Z419" s="32"/>
      <c r="AA419" s="32"/>
      <c r="AB419" s="32"/>
      <c r="AC419" s="32"/>
      <c r="AD419" s="32"/>
      <c r="AE419" s="32"/>
    </row>
    <row r="420" ht="15.75" customHeight="1"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6"/>
      <c r="P420" s="6"/>
      <c r="Q420" s="6"/>
      <c r="R420" s="6"/>
      <c r="S420" s="32"/>
      <c r="T420" s="32"/>
      <c r="U420" s="6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ht="15.75" customHeight="1"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6"/>
      <c r="P421" s="6"/>
      <c r="Q421" s="6"/>
      <c r="R421" s="6"/>
      <c r="S421" s="32"/>
      <c r="T421" s="32"/>
      <c r="U421" s="6"/>
      <c r="W421" s="32"/>
      <c r="X421" s="32"/>
      <c r="Y421" s="32"/>
      <c r="Z421" s="32"/>
      <c r="AA421" s="32"/>
      <c r="AB421" s="32"/>
      <c r="AC421" s="32"/>
      <c r="AD421" s="32"/>
      <c r="AE421" s="32"/>
    </row>
    <row r="422" ht="15.75" customHeight="1"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6"/>
      <c r="P422" s="6"/>
      <c r="Q422" s="6"/>
      <c r="R422" s="6"/>
      <c r="S422" s="32"/>
      <c r="T422" s="32"/>
      <c r="U422" s="6"/>
      <c r="W422" s="32"/>
      <c r="X422" s="32"/>
      <c r="Y422" s="32"/>
      <c r="Z422" s="32"/>
      <c r="AA422" s="32"/>
      <c r="AB422" s="32"/>
      <c r="AC422" s="32"/>
      <c r="AD422" s="32"/>
      <c r="AE422" s="32"/>
    </row>
    <row r="423" ht="15.75" customHeight="1"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6"/>
      <c r="P423" s="6"/>
      <c r="Q423" s="6"/>
      <c r="R423" s="6"/>
      <c r="S423" s="32"/>
      <c r="T423" s="32"/>
      <c r="U423" s="6"/>
      <c r="W423" s="32"/>
      <c r="X423" s="32"/>
      <c r="Y423" s="32"/>
      <c r="Z423" s="32"/>
      <c r="AA423" s="32"/>
      <c r="AB423" s="32"/>
      <c r="AC423" s="32"/>
      <c r="AD423" s="32"/>
      <c r="AE423" s="32"/>
    </row>
    <row r="424" ht="15.75" customHeight="1"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6"/>
      <c r="P424" s="6"/>
      <c r="Q424" s="6"/>
      <c r="R424" s="6"/>
      <c r="S424" s="32"/>
      <c r="T424" s="32"/>
      <c r="U424" s="6"/>
      <c r="W424" s="32"/>
      <c r="X424" s="32"/>
      <c r="Y424" s="32"/>
      <c r="Z424" s="32"/>
      <c r="AA424" s="32"/>
      <c r="AB424" s="32"/>
      <c r="AC424" s="32"/>
      <c r="AD424" s="32"/>
      <c r="AE424" s="32"/>
    </row>
    <row r="425" ht="15.75" customHeight="1"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6"/>
      <c r="P425" s="6"/>
      <c r="Q425" s="6"/>
      <c r="R425" s="6"/>
      <c r="S425" s="32"/>
      <c r="T425" s="32"/>
      <c r="U425" s="6"/>
      <c r="W425" s="32"/>
      <c r="X425" s="32"/>
      <c r="Y425" s="32"/>
      <c r="Z425" s="32"/>
      <c r="AA425" s="32"/>
      <c r="AB425" s="32"/>
      <c r="AC425" s="32"/>
      <c r="AD425" s="32"/>
      <c r="AE425" s="32"/>
    </row>
    <row r="426" ht="15.75" customHeight="1"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6"/>
      <c r="P426" s="6"/>
      <c r="Q426" s="6"/>
      <c r="R426" s="6"/>
      <c r="S426" s="32"/>
      <c r="T426" s="32"/>
      <c r="U426" s="6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ht="15.75" customHeight="1"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6"/>
      <c r="P427" s="6"/>
      <c r="Q427" s="6"/>
      <c r="R427" s="6"/>
      <c r="S427" s="32"/>
      <c r="T427" s="32"/>
      <c r="U427" s="6"/>
      <c r="W427" s="32"/>
      <c r="X427" s="32"/>
      <c r="Y427" s="32"/>
      <c r="Z427" s="32"/>
      <c r="AA427" s="32"/>
      <c r="AB427" s="32"/>
      <c r="AC427" s="32"/>
      <c r="AD427" s="32"/>
      <c r="AE427" s="32"/>
    </row>
    <row r="428" ht="15.75" customHeight="1"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6"/>
      <c r="P428" s="6"/>
      <c r="Q428" s="6"/>
      <c r="R428" s="6"/>
      <c r="S428" s="32"/>
      <c r="T428" s="32"/>
      <c r="U428" s="6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ht="15.75" customHeight="1"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6"/>
      <c r="P429" s="6"/>
      <c r="Q429" s="6"/>
      <c r="R429" s="6"/>
      <c r="S429" s="32"/>
      <c r="T429" s="32"/>
      <c r="U429" s="6"/>
      <c r="W429" s="32"/>
      <c r="X429" s="32"/>
      <c r="Y429" s="32"/>
      <c r="Z429" s="32"/>
      <c r="AA429" s="32"/>
      <c r="AB429" s="32"/>
      <c r="AC429" s="32"/>
      <c r="AD429" s="32"/>
      <c r="AE429" s="32"/>
    </row>
    <row r="430" ht="15.75" customHeight="1"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6"/>
      <c r="P430" s="6"/>
      <c r="Q430" s="6"/>
      <c r="R430" s="6"/>
      <c r="S430" s="32"/>
      <c r="T430" s="32"/>
      <c r="U430" s="6"/>
      <c r="W430" s="32"/>
      <c r="X430" s="32"/>
      <c r="Y430" s="32"/>
      <c r="Z430" s="32"/>
      <c r="AA430" s="32"/>
      <c r="AB430" s="32"/>
      <c r="AC430" s="32"/>
      <c r="AD430" s="32"/>
      <c r="AE430" s="32"/>
    </row>
    <row r="431" ht="15.75" customHeight="1"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6"/>
      <c r="P431" s="6"/>
      <c r="Q431" s="6"/>
      <c r="R431" s="6"/>
      <c r="S431" s="32"/>
      <c r="T431" s="32"/>
      <c r="U431" s="6"/>
      <c r="W431" s="32"/>
      <c r="X431" s="32"/>
      <c r="Y431" s="32"/>
      <c r="Z431" s="32"/>
      <c r="AA431" s="32"/>
      <c r="AB431" s="32"/>
      <c r="AC431" s="32"/>
      <c r="AD431" s="32"/>
      <c r="AE431" s="32"/>
    </row>
    <row r="432" ht="15.75" customHeight="1"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6"/>
      <c r="P432" s="6"/>
      <c r="Q432" s="6"/>
      <c r="R432" s="6"/>
      <c r="S432" s="32"/>
      <c r="T432" s="32"/>
      <c r="U432" s="6"/>
      <c r="W432" s="32"/>
      <c r="X432" s="32"/>
      <c r="Y432" s="32"/>
      <c r="Z432" s="32"/>
      <c r="AA432" s="32"/>
      <c r="AB432" s="32"/>
      <c r="AC432" s="32"/>
      <c r="AD432" s="32"/>
      <c r="AE432" s="32"/>
    </row>
    <row r="433" ht="15.75" customHeight="1"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6"/>
      <c r="P433" s="6"/>
      <c r="Q433" s="6"/>
      <c r="R433" s="6"/>
      <c r="S433" s="32"/>
      <c r="T433" s="32"/>
      <c r="U433" s="6"/>
      <c r="W433" s="32"/>
      <c r="X433" s="32"/>
      <c r="Y433" s="32"/>
      <c r="Z433" s="32"/>
      <c r="AA433" s="32"/>
      <c r="AB433" s="32"/>
      <c r="AC433" s="32"/>
      <c r="AD433" s="32"/>
      <c r="AE433" s="32"/>
    </row>
    <row r="434" ht="15.75" customHeight="1"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6"/>
      <c r="P434" s="6"/>
      <c r="Q434" s="6"/>
      <c r="R434" s="6"/>
      <c r="S434" s="32"/>
      <c r="T434" s="32"/>
      <c r="U434" s="6"/>
      <c r="W434" s="32"/>
      <c r="X434" s="32"/>
      <c r="Y434" s="32"/>
      <c r="Z434" s="32"/>
      <c r="AA434" s="32"/>
      <c r="AB434" s="32"/>
      <c r="AC434" s="32"/>
      <c r="AD434" s="32"/>
      <c r="AE434" s="32"/>
    </row>
    <row r="435" ht="15.75" customHeight="1"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6"/>
      <c r="P435" s="6"/>
      <c r="Q435" s="6"/>
      <c r="R435" s="6"/>
      <c r="S435" s="32"/>
      <c r="T435" s="32"/>
      <c r="U435" s="6"/>
      <c r="W435" s="32"/>
      <c r="X435" s="32"/>
      <c r="Y435" s="32"/>
      <c r="Z435" s="32"/>
      <c r="AA435" s="32"/>
      <c r="AB435" s="32"/>
      <c r="AC435" s="32"/>
      <c r="AD435" s="32"/>
      <c r="AE435" s="32"/>
    </row>
    <row r="436" ht="15.75" customHeight="1"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6"/>
      <c r="P436" s="6"/>
      <c r="Q436" s="6"/>
      <c r="R436" s="6"/>
      <c r="S436" s="32"/>
      <c r="T436" s="32"/>
      <c r="U436" s="6"/>
      <c r="W436" s="32"/>
      <c r="X436" s="32"/>
      <c r="Y436" s="32"/>
      <c r="Z436" s="32"/>
      <c r="AA436" s="32"/>
      <c r="AB436" s="32"/>
      <c r="AC436" s="32"/>
      <c r="AD436" s="32"/>
      <c r="AE436" s="32"/>
    </row>
    <row r="437" ht="15.75" customHeight="1"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6"/>
      <c r="P437" s="6"/>
      <c r="Q437" s="6"/>
      <c r="R437" s="6"/>
      <c r="S437" s="32"/>
      <c r="T437" s="32"/>
      <c r="U437" s="6"/>
      <c r="W437" s="32"/>
      <c r="X437" s="32"/>
      <c r="Y437" s="32"/>
      <c r="Z437" s="32"/>
      <c r="AA437" s="32"/>
      <c r="AB437" s="32"/>
      <c r="AC437" s="32"/>
      <c r="AD437" s="32"/>
      <c r="AE437" s="32"/>
    </row>
    <row r="438" ht="15.75" customHeight="1"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6"/>
      <c r="P438" s="6"/>
      <c r="Q438" s="6"/>
      <c r="R438" s="6"/>
      <c r="S438" s="32"/>
      <c r="T438" s="32"/>
      <c r="U438" s="6"/>
      <c r="W438" s="32"/>
      <c r="X438" s="32"/>
      <c r="Y438" s="32"/>
      <c r="Z438" s="32"/>
      <c r="AA438" s="32"/>
      <c r="AB438" s="32"/>
      <c r="AC438" s="32"/>
      <c r="AD438" s="32"/>
      <c r="AE438" s="32"/>
    </row>
    <row r="439" ht="15.75" customHeight="1"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6"/>
      <c r="P439" s="6"/>
      <c r="Q439" s="6"/>
      <c r="R439" s="6"/>
      <c r="S439" s="32"/>
      <c r="T439" s="32"/>
      <c r="U439" s="6"/>
      <c r="W439" s="32"/>
      <c r="X439" s="32"/>
      <c r="Y439" s="32"/>
      <c r="Z439" s="32"/>
      <c r="AA439" s="32"/>
      <c r="AB439" s="32"/>
      <c r="AC439" s="32"/>
      <c r="AD439" s="32"/>
      <c r="AE439" s="32"/>
    </row>
    <row r="440" ht="15.75" customHeight="1"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6"/>
      <c r="P440" s="6"/>
      <c r="Q440" s="6"/>
      <c r="R440" s="6"/>
      <c r="S440" s="32"/>
      <c r="T440" s="32"/>
      <c r="U440" s="6"/>
      <c r="W440" s="32"/>
      <c r="X440" s="32"/>
      <c r="Y440" s="32"/>
      <c r="Z440" s="32"/>
      <c r="AA440" s="32"/>
      <c r="AB440" s="32"/>
      <c r="AC440" s="32"/>
      <c r="AD440" s="32"/>
      <c r="AE440" s="32"/>
    </row>
    <row r="441" ht="15.75" customHeight="1"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6"/>
      <c r="P441" s="6"/>
      <c r="Q441" s="6"/>
      <c r="R441" s="6"/>
      <c r="S441" s="32"/>
      <c r="T441" s="32"/>
      <c r="U441" s="6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ht="15.75" customHeight="1"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6"/>
      <c r="P442" s="6"/>
      <c r="Q442" s="6"/>
      <c r="R442" s="6"/>
      <c r="S442" s="32"/>
      <c r="T442" s="32"/>
      <c r="U442" s="6"/>
      <c r="W442" s="32"/>
      <c r="X442" s="32"/>
      <c r="Y442" s="32"/>
      <c r="Z442" s="32"/>
      <c r="AA442" s="32"/>
      <c r="AB442" s="32"/>
      <c r="AC442" s="32"/>
      <c r="AD442" s="32"/>
      <c r="AE442" s="32"/>
    </row>
    <row r="443" ht="15.75" customHeight="1"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6"/>
      <c r="P443" s="6"/>
      <c r="Q443" s="6"/>
      <c r="R443" s="6"/>
      <c r="S443" s="32"/>
      <c r="T443" s="32"/>
      <c r="U443" s="6"/>
      <c r="W443" s="32"/>
      <c r="X443" s="32"/>
      <c r="Y443" s="32"/>
      <c r="Z443" s="32"/>
      <c r="AA443" s="32"/>
      <c r="AB443" s="32"/>
      <c r="AC443" s="32"/>
      <c r="AD443" s="32"/>
      <c r="AE443" s="32"/>
    </row>
    <row r="444" ht="15.75" customHeight="1"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6"/>
      <c r="P444" s="6"/>
      <c r="Q444" s="6"/>
      <c r="R444" s="6"/>
      <c r="S444" s="32"/>
      <c r="T444" s="32"/>
      <c r="U444" s="6"/>
      <c r="W444" s="32"/>
      <c r="X444" s="32"/>
      <c r="Y444" s="32"/>
      <c r="Z444" s="32"/>
      <c r="AA444" s="32"/>
      <c r="AB444" s="32"/>
      <c r="AC444" s="32"/>
      <c r="AD444" s="32"/>
      <c r="AE444" s="32"/>
    </row>
    <row r="445" ht="15.75" customHeight="1"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6"/>
      <c r="P445" s="6"/>
      <c r="Q445" s="6"/>
      <c r="R445" s="6"/>
      <c r="S445" s="32"/>
      <c r="T445" s="32"/>
      <c r="U445" s="6"/>
      <c r="W445" s="32"/>
      <c r="X445" s="32"/>
      <c r="Y445" s="32"/>
      <c r="Z445" s="32"/>
      <c r="AA445" s="32"/>
      <c r="AB445" s="32"/>
      <c r="AC445" s="32"/>
      <c r="AD445" s="32"/>
      <c r="AE445" s="32"/>
    </row>
    <row r="446" ht="15.75" customHeight="1"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6"/>
      <c r="P446" s="6"/>
      <c r="Q446" s="6"/>
      <c r="R446" s="6"/>
      <c r="S446" s="32"/>
      <c r="T446" s="32"/>
      <c r="U446" s="6"/>
      <c r="W446" s="32"/>
      <c r="X446" s="32"/>
      <c r="Y446" s="32"/>
      <c r="Z446" s="32"/>
      <c r="AA446" s="32"/>
      <c r="AB446" s="32"/>
      <c r="AC446" s="32"/>
      <c r="AD446" s="32"/>
      <c r="AE446" s="32"/>
    </row>
    <row r="447" ht="15.75" customHeight="1"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6"/>
      <c r="P447" s="6"/>
      <c r="Q447" s="6"/>
      <c r="R447" s="6"/>
      <c r="S447" s="32"/>
      <c r="T447" s="32"/>
      <c r="U447" s="6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ht="15.75" customHeight="1"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6"/>
      <c r="P448" s="6"/>
      <c r="Q448" s="6"/>
      <c r="R448" s="6"/>
      <c r="S448" s="32"/>
      <c r="T448" s="32"/>
      <c r="U448" s="6"/>
      <c r="W448" s="32"/>
      <c r="X448" s="32"/>
      <c r="Y448" s="32"/>
      <c r="Z448" s="32"/>
      <c r="AA448" s="32"/>
      <c r="AB448" s="32"/>
      <c r="AC448" s="32"/>
      <c r="AD448" s="32"/>
      <c r="AE448" s="32"/>
    </row>
    <row r="449" ht="15.75" customHeight="1"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6"/>
      <c r="P449" s="6"/>
      <c r="Q449" s="6"/>
      <c r="R449" s="6"/>
      <c r="S449" s="32"/>
      <c r="T449" s="32"/>
      <c r="U449" s="6"/>
      <c r="W449" s="32"/>
      <c r="X449" s="32"/>
      <c r="Y449" s="32"/>
      <c r="Z449" s="32"/>
      <c r="AA449" s="32"/>
      <c r="AB449" s="32"/>
      <c r="AC449" s="32"/>
      <c r="AD449" s="32"/>
      <c r="AE449" s="32"/>
    </row>
    <row r="450" ht="15.75" customHeight="1"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6"/>
      <c r="P450" s="6"/>
      <c r="Q450" s="6"/>
      <c r="R450" s="6"/>
      <c r="S450" s="32"/>
      <c r="T450" s="32"/>
      <c r="U450" s="6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ht="15.75" customHeight="1"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6"/>
      <c r="P451" s="6"/>
      <c r="Q451" s="6"/>
      <c r="R451" s="6"/>
      <c r="S451" s="32"/>
      <c r="T451" s="32"/>
      <c r="U451" s="6"/>
      <c r="W451" s="32"/>
      <c r="X451" s="32"/>
      <c r="Y451" s="32"/>
      <c r="Z451" s="32"/>
      <c r="AA451" s="32"/>
      <c r="AB451" s="32"/>
      <c r="AC451" s="32"/>
      <c r="AD451" s="32"/>
      <c r="AE451" s="32"/>
    </row>
    <row r="452" ht="15.75" customHeight="1"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6"/>
      <c r="P452" s="6"/>
      <c r="Q452" s="6"/>
      <c r="R452" s="6"/>
      <c r="S452" s="32"/>
      <c r="T452" s="32"/>
      <c r="U452" s="6"/>
      <c r="W452" s="32"/>
      <c r="X452" s="32"/>
      <c r="Y452" s="32"/>
      <c r="Z452" s="32"/>
      <c r="AA452" s="32"/>
      <c r="AB452" s="32"/>
      <c r="AC452" s="32"/>
      <c r="AD452" s="32"/>
      <c r="AE452" s="32"/>
    </row>
    <row r="453" ht="15.75" customHeight="1"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6"/>
      <c r="P453" s="6"/>
      <c r="Q453" s="6"/>
      <c r="R453" s="6"/>
      <c r="S453" s="32"/>
      <c r="T453" s="32"/>
      <c r="U453" s="6"/>
      <c r="W453" s="32"/>
      <c r="X453" s="32"/>
      <c r="Y453" s="32"/>
      <c r="Z453" s="32"/>
      <c r="AA453" s="32"/>
      <c r="AB453" s="32"/>
      <c r="AC453" s="32"/>
      <c r="AD453" s="32"/>
      <c r="AE453" s="32"/>
    </row>
    <row r="454" ht="15.75" customHeight="1"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6"/>
      <c r="P454" s="6"/>
      <c r="Q454" s="6"/>
      <c r="R454" s="6"/>
      <c r="S454" s="32"/>
      <c r="T454" s="32"/>
      <c r="U454" s="6"/>
      <c r="W454" s="32"/>
      <c r="X454" s="32"/>
      <c r="Y454" s="32"/>
      <c r="Z454" s="32"/>
      <c r="AA454" s="32"/>
      <c r="AB454" s="32"/>
      <c r="AC454" s="32"/>
      <c r="AD454" s="32"/>
      <c r="AE454" s="32"/>
    </row>
    <row r="455" ht="15.75" customHeight="1"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6"/>
      <c r="P455" s="6"/>
      <c r="Q455" s="6"/>
      <c r="R455" s="6"/>
      <c r="S455" s="32"/>
      <c r="T455" s="32"/>
      <c r="U455" s="6"/>
      <c r="W455" s="32"/>
      <c r="X455" s="32"/>
      <c r="Y455" s="32"/>
      <c r="Z455" s="32"/>
      <c r="AA455" s="32"/>
      <c r="AB455" s="32"/>
      <c r="AC455" s="32"/>
      <c r="AD455" s="32"/>
      <c r="AE455" s="32"/>
    </row>
    <row r="456" ht="15.75" customHeight="1"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6"/>
      <c r="P456" s="6"/>
      <c r="Q456" s="6"/>
      <c r="R456" s="6"/>
      <c r="S456" s="32"/>
      <c r="T456" s="32"/>
      <c r="U456" s="6"/>
      <c r="W456" s="32"/>
      <c r="X456" s="32"/>
      <c r="Y456" s="32"/>
      <c r="Z456" s="32"/>
      <c r="AA456" s="32"/>
      <c r="AB456" s="32"/>
      <c r="AC456" s="32"/>
      <c r="AD456" s="32"/>
      <c r="AE456" s="32"/>
    </row>
    <row r="457" ht="15.75" customHeight="1"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6"/>
      <c r="P457" s="6"/>
      <c r="Q457" s="6"/>
      <c r="R457" s="6"/>
      <c r="S457" s="32"/>
      <c r="T457" s="32"/>
      <c r="U457" s="6"/>
      <c r="W457" s="32"/>
      <c r="X457" s="32"/>
      <c r="Y457" s="32"/>
      <c r="Z457" s="32"/>
      <c r="AA457" s="32"/>
      <c r="AB457" s="32"/>
      <c r="AC457" s="32"/>
      <c r="AD457" s="32"/>
      <c r="AE457" s="32"/>
    </row>
    <row r="458" ht="15.75" customHeight="1"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6"/>
      <c r="P458" s="6"/>
      <c r="Q458" s="6"/>
      <c r="R458" s="6"/>
      <c r="S458" s="32"/>
      <c r="T458" s="32"/>
      <c r="U458" s="6"/>
      <c r="W458" s="32"/>
      <c r="X458" s="32"/>
      <c r="Y458" s="32"/>
      <c r="Z458" s="32"/>
      <c r="AA458" s="32"/>
      <c r="AB458" s="32"/>
      <c r="AC458" s="32"/>
      <c r="AD458" s="32"/>
      <c r="AE458" s="32"/>
    </row>
    <row r="459" ht="15.75" customHeight="1"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6"/>
      <c r="P459" s="6"/>
      <c r="Q459" s="6"/>
      <c r="R459" s="6"/>
      <c r="S459" s="32"/>
      <c r="T459" s="32"/>
      <c r="U459" s="6"/>
      <c r="W459" s="32"/>
      <c r="X459" s="32"/>
      <c r="Y459" s="32"/>
      <c r="Z459" s="32"/>
      <c r="AA459" s="32"/>
      <c r="AB459" s="32"/>
      <c r="AC459" s="32"/>
      <c r="AD459" s="32"/>
      <c r="AE459" s="32"/>
    </row>
    <row r="460" ht="15.75" customHeight="1"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6"/>
      <c r="P460" s="6"/>
      <c r="Q460" s="6"/>
      <c r="R460" s="6"/>
      <c r="S460" s="32"/>
      <c r="T460" s="32"/>
      <c r="U460" s="6"/>
      <c r="W460" s="32"/>
      <c r="X460" s="32"/>
      <c r="Y460" s="32"/>
      <c r="Z460" s="32"/>
      <c r="AA460" s="32"/>
      <c r="AB460" s="32"/>
      <c r="AC460" s="32"/>
      <c r="AD460" s="32"/>
      <c r="AE460" s="32"/>
    </row>
    <row r="461" ht="15.75" customHeight="1"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6"/>
      <c r="P461" s="6"/>
      <c r="Q461" s="6"/>
      <c r="R461" s="6"/>
      <c r="S461" s="32"/>
      <c r="T461" s="32"/>
      <c r="U461" s="6"/>
      <c r="W461" s="32"/>
      <c r="X461" s="32"/>
      <c r="Y461" s="32"/>
      <c r="Z461" s="32"/>
      <c r="AA461" s="32"/>
      <c r="AB461" s="32"/>
      <c r="AC461" s="32"/>
      <c r="AD461" s="32"/>
      <c r="AE461" s="32"/>
    </row>
    <row r="462" ht="15.75" customHeight="1"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6"/>
      <c r="P462" s="6"/>
      <c r="Q462" s="6"/>
      <c r="R462" s="6"/>
      <c r="S462" s="32"/>
      <c r="T462" s="32"/>
      <c r="U462" s="6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ht="15.75" customHeight="1"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6"/>
      <c r="P463" s="6"/>
      <c r="Q463" s="6"/>
      <c r="R463" s="6"/>
      <c r="S463" s="32"/>
      <c r="T463" s="32"/>
      <c r="U463" s="6"/>
      <c r="W463" s="32"/>
      <c r="X463" s="32"/>
      <c r="Y463" s="32"/>
      <c r="Z463" s="32"/>
      <c r="AA463" s="32"/>
      <c r="AB463" s="32"/>
      <c r="AC463" s="32"/>
      <c r="AD463" s="32"/>
      <c r="AE463" s="32"/>
    </row>
    <row r="464" ht="15.75" customHeight="1"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6"/>
      <c r="P464" s="6"/>
      <c r="Q464" s="6"/>
      <c r="R464" s="6"/>
      <c r="S464" s="32"/>
      <c r="T464" s="32"/>
      <c r="U464" s="6"/>
      <c r="W464" s="32"/>
      <c r="X464" s="32"/>
      <c r="Y464" s="32"/>
      <c r="Z464" s="32"/>
      <c r="AA464" s="32"/>
      <c r="AB464" s="32"/>
      <c r="AC464" s="32"/>
      <c r="AD464" s="32"/>
      <c r="AE464" s="32"/>
    </row>
    <row r="465" ht="15.75" customHeight="1"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6"/>
      <c r="P465" s="6"/>
      <c r="Q465" s="6"/>
      <c r="R465" s="6"/>
      <c r="S465" s="32"/>
      <c r="T465" s="32"/>
      <c r="U465" s="6"/>
      <c r="W465" s="32"/>
      <c r="X465" s="32"/>
      <c r="Y465" s="32"/>
      <c r="Z465" s="32"/>
      <c r="AA465" s="32"/>
      <c r="AB465" s="32"/>
      <c r="AC465" s="32"/>
      <c r="AD465" s="32"/>
      <c r="AE465" s="32"/>
    </row>
    <row r="466" ht="15.75" customHeight="1"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6"/>
      <c r="P466" s="6"/>
      <c r="Q466" s="6"/>
      <c r="R466" s="6"/>
      <c r="S466" s="32"/>
      <c r="T466" s="32"/>
      <c r="U466" s="6"/>
      <c r="W466" s="32"/>
      <c r="X466" s="32"/>
      <c r="Y466" s="32"/>
      <c r="Z466" s="32"/>
      <c r="AA466" s="32"/>
      <c r="AB466" s="32"/>
      <c r="AC466" s="32"/>
      <c r="AD466" s="32"/>
      <c r="AE466" s="32"/>
    </row>
    <row r="467" ht="15.75" customHeight="1"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6"/>
      <c r="P467" s="6"/>
      <c r="Q467" s="6"/>
      <c r="R467" s="6"/>
      <c r="S467" s="32"/>
      <c r="T467" s="32"/>
      <c r="U467" s="6"/>
      <c r="W467" s="32"/>
      <c r="X467" s="32"/>
      <c r="Y467" s="32"/>
      <c r="Z467" s="32"/>
      <c r="AA467" s="32"/>
      <c r="AB467" s="32"/>
      <c r="AC467" s="32"/>
      <c r="AD467" s="32"/>
      <c r="AE467" s="32"/>
    </row>
    <row r="468" ht="15.75" customHeight="1"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6"/>
      <c r="P468" s="6"/>
      <c r="Q468" s="6"/>
      <c r="R468" s="6"/>
      <c r="S468" s="32"/>
      <c r="T468" s="32"/>
      <c r="U468" s="6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ht="15.75" customHeight="1"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6"/>
      <c r="P469" s="6"/>
      <c r="Q469" s="6"/>
      <c r="R469" s="6"/>
      <c r="S469" s="32"/>
      <c r="T469" s="32"/>
      <c r="U469" s="6"/>
      <c r="W469" s="32"/>
      <c r="X469" s="32"/>
      <c r="Y469" s="32"/>
      <c r="Z469" s="32"/>
      <c r="AA469" s="32"/>
      <c r="AB469" s="32"/>
      <c r="AC469" s="32"/>
      <c r="AD469" s="32"/>
      <c r="AE469" s="32"/>
    </row>
    <row r="470" ht="15.75" customHeight="1"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6"/>
      <c r="P470" s="6"/>
      <c r="Q470" s="6"/>
      <c r="R470" s="6"/>
      <c r="S470" s="32"/>
      <c r="T470" s="32"/>
      <c r="U470" s="6"/>
      <c r="W470" s="32"/>
      <c r="X470" s="32"/>
      <c r="Y470" s="32"/>
      <c r="Z470" s="32"/>
      <c r="AA470" s="32"/>
      <c r="AB470" s="32"/>
      <c r="AC470" s="32"/>
      <c r="AD470" s="32"/>
      <c r="AE470" s="32"/>
    </row>
    <row r="471" ht="15.75" customHeight="1"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6"/>
      <c r="P471" s="6"/>
      <c r="Q471" s="6"/>
      <c r="R471" s="6"/>
      <c r="S471" s="32"/>
      <c r="T471" s="32"/>
      <c r="U471" s="6"/>
      <c r="W471" s="32"/>
      <c r="X471" s="32"/>
      <c r="Y471" s="32"/>
      <c r="Z471" s="32"/>
      <c r="AA471" s="32"/>
      <c r="AB471" s="32"/>
      <c r="AC471" s="32"/>
      <c r="AD471" s="32"/>
      <c r="AE471" s="32"/>
    </row>
    <row r="472" ht="15.75" customHeight="1"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6"/>
      <c r="P472" s="6"/>
      <c r="Q472" s="6"/>
      <c r="R472" s="6"/>
      <c r="S472" s="32"/>
      <c r="T472" s="32"/>
      <c r="U472" s="6"/>
      <c r="W472" s="32"/>
      <c r="X472" s="32"/>
      <c r="Y472" s="32"/>
      <c r="Z472" s="32"/>
      <c r="AA472" s="32"/>
      <c r="AB472" s="32"/>
      <c r="AC472" s="32"/>
      <c r="AD472" s="32"/>
      <c r="AE472" s="32"/>
    </row>
    <row r="473" ht="15.75" customHeight="1"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6"/>
      <c r="P473" s="6"/>
      <c r="Q473" s="6"/>
      <c r="R473" s="6"/>
      <c r="S473" s="32"/>
      <c r="T473" s="32"/>
      <c r="U473" s="6"/>
      <c r="W473" s="32"/>
      <c r="X473" s="32"/>
      <c r="Y473" s="32"/>
      <c r="Z473" s="32"/>
      <c r="AA473" s="32"/>
      <c r="AB473" s="32"/>
      <c r="AC473" s="32"/>
      <c r="AD473" s="32"/>
      <c r="AE473" s="32"/>
    </row>
    <row r="474" ht="15.75" customHeight="1"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6"/>
      <c r="P474" s="6"/>
      <c r="Q474" s="6"/>
      <c r="R474" s="6"/>
      <c r="S474" s="32"/>
      <c r="T474" s="32"/>
      <c r="U474" s="6"/>
      <c r="W474" s="32"/>
      <c r="X474" s="32"/>
      <c r="Y474" s="32"/>
      <c r="Z474" s="32"/>
      <c r="AA474" s="32"/>
      <c r="AB474" s="32"/>
      <c r="AC474" s="32"/>
      <c r="AD474" s="32"/>
      <c r="AE474" s="32"/>
    </row>
    <row r="475" ht="15.75" customHeight="1"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6"/>
      <c r="P475" s="6"/>
      <c r="Q475" s="6"/>
      <c r="R475" s="6"/>
      <c r="S475" s="32"/>
      <c r="T475" s="32"/>
      <c r="U475" s="6"/>
      <c r="W475" s="32"/>
      <c r="X475" s="32"/>
      <c r="Y475" s="32"/>
      <c r="Z475" s="32"/>
      <c r="AA475" s="32"/>
      <c r="AB475" s="32"/>
      <c r="AC475" s="32"/>
      <c r="AD475" s="32"/>
      <c r="AE475" s="32"/>
    </row>
    <row r="476" ht="15.75" customHeight="1"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6"/>
      <c r="P476" s="6"/>
      <c r="Q476" s="6"/>
      <c r="R476" s="6"/>
      <c r="S476" s="32"/>
      <c r="T476" s="32"/>
      <c r="U476" s="6"/>
      <c r="W476" s="32"/>
      <c r="X476" s="32"/>
      <c r="Y476" s="32"/>
      <c r="Z476" s="32"/>
      <c r="AA476" s="32"/>
      <c r="AB476" s="32"/>
      <c r="AC476" s="32"/>
      <c r="AD476" s="32"/>
      <c r="AE476" s="32"/>
    </row>
    <row r="477" ht="15.75" customHeight="1"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6"/>
      <c r="P477" s="6"/>
      <c r="Q477" s="6"/>
      <c r="R477" s="6"/>
      <c r="S477" s="32"/>
      <c r="T477" s="32"/>
      <c r="U477" s="6"/>
      <c r="W477" s="32"/>
      <c r="X477" s="32"/>
      <c r="Y477" s="32"/>
      <c r="Z477" s="32"/>
      <c r="AA477" s="32"/>
      <c r="AB477" s="32"/>
      <c r="AC477" s="32"/>
      <c r="AD477" s="32"/>
      <c r="AE477" s="32"/>
    </row>
    <row r="478" ht="15.75" customHeight="1"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6"/>
      <c r="P478" s="6"/>
      <c r="Q478" s="6"/>
      <c r="R478" s="6"/>
      <c r="S478" s="32"/>
      <c r="T478" s="32"/>
      <c r="U478" s="6"/>
      <c r="W478" s="32"/>
      <c r="X478" s="32"/>
      <c r="Y478" s="32"/>
      <c r="Z478" s="32"/>
      <c r="AA478" s="32"/>
      <c r="AB478" s="32"/>
      <c r="AC478" s="32"/>
      <c r="AD478" s="32"/>
      <c r="AE478" s="32"/>
    </row>
    <row r="479" ht="15.75" customHeight="1"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6"/>
      <c r="P479" s="6"/>
      <c r="Q479" s="6"/>
      <c r="R479" s="6"/>
      <c r="S479" s="32"/>
      <c r="T479" s="32"/>
      <c r="U479" s="6"/>
      <c r="W479" s="32"/>
      <c r="X479" s="32"/>
      <c r="Y479" s="32"/>
      <c r="Z479" s="32"/>
      <c r="AA479" s="32"/>
      <c r="AB479" s="32"/>
      <c r="AC479" s="32"/>
      <c r="AD479" s="32"/>
      <c r="AE479" s="32"/>
    </row>
    <row r="480" ht="15.75" customHeight="1"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6"/>
      <c r="P480" s="6"/>
      <c r="Q480" s="6"/>
      <c r="R480" s="6"/>
      <c r="S480" s="32"/>
      <c r="T480" s="32"/>
      <c r="U480" s="6"/>
      <c r="W480" s="32"/>
      <c r="X480" s="32"/>
      <c r="Y480" s="32"/>
      <c r="Z480" s="32"/>
      <c r="AA480" s="32"/>
      <c r="AB480" s="32"/>
      <c r="AC480" s="32"/>
      <c r="AD480" s="32"/>
      <c r="AE480" s="32"/>
    </row>
    <row r="481" ht="15.75" customHeight="1"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6"/>
      <c r="P481" s="6"/>
      <c r="Q481" s="6"/>
      <c r="R481" s="6"/>
      <c r="S481" s="32"/>
      <c r="T481" s="32"/>
      <c r="U481" s="6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ht="15.75" customHeight="1"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6"/>
      <c r="P482" s="6"/>
      <c r="Q482" s="6"/>
      <c r="R482" s="6"/>
      <c r="S482" s="32"/>
      <c r="T482" s="32"/>
      <c r="U482" s="6"/>
      <c r="W482" s="32"/>
      <c r="X482" s="32"/>
      <c r="Y482" s="32"/>
      <c r="Z482" s="32"/>
      <c r="AA482" s="32"/>
      <c r="AB482" s="32"/>
      <c r="AC482" s="32"/>
      <c r="AD482" s="32"/>
      <c r="AE482" s="32"/>
    </row>
    <row r="483" ht="15.75" customHeight="1"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6"/>
      <c r="P483" s="6"/>
      <c r="Q483" s="6"/>
      <c r="R483" s="6"/>
      <c r="S483" s="32"/>
      <c r="T483" s="32"/>
      <c r="U483" s="6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ht="15.75" customHeight="1"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6"/>
      <c r="P484" s="6"/>
      <c r="Q484" s="6"/>
      <c r="R484" s="6"/>
      <c r="S484" s="32"/>
      <c r="T484" s="32"/>
      <c r="U484" s="6"/>
      <c r="W484" s="32"/>
      <c r="X484" s="32"/>
      <c r="Y484" s="32"/>
      <c r="Z484" s="32"/>
      <c r="AA484" s="32"/>
      <c r="AB484" s="32"/>
      <c r="AC484" s="32"/>
      <c r="AD484" s="32"/>
      <c r="AE484" s="32"/>
    </row>
    <row r="485" ht="15.75" customHeight="1"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6"/>
      <c r="P485" s="6"/>
      <c r="Q485" s="6"/>
      <c r="R485" s="6"/>
      <c r="S485" s="32"/>
      <c r="T485" s="32"/>
      <c r="U485" s="6"/>
      <c r="W485" s="32"/>
      <c r="X485" s="32"/>
      <c r="Y485" s="32"/>
      <c r="Z485" s="32"/>
      <c r="AA485" s="32"/>
      <c r="AB485" s="32"/>
      <c r="AC485" s="32"/>
      <c r="AD485" s="32"/>
      <c r="AE485" s="32"/>
    </row>
    <row r="486" ht="15.75" customHeight="1"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6"/>
      <c r="P486" s="6"/>
      <c r="Q486" s="6"/>
      <c r="R486" s="6"/>
      <c r="S486" s="32"/>
      <c r="T486" s="32"/>
      <c r="U486" s="6"/>
      <c r="W486" s="32"/>
      <c r="X486" s="32"/>
      <c r="Y486" s="32"/>
      <c r="Z486" s="32"/>
      <c r="AA486" s="32"/>
      <c r="AB486" s="32"/>
      <c r="AC486" s="32"/>
      <c r="AD486" s="32"/>
      <c r="AE486" s="32"/>
    </row>
    <row r="487" ht="15.75" customHeight="1"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6"/>
      <c r="P487" s="6"/>
      <c r="Q487" s="6"/>
      <c r="R487" s="6"/>
      <c r="S487" s="32"/>
      <c r="T487" s="32"/>
      <c r="U487" s="6"/>
      <c r="W487" s="32"/>
      <c r="X487" s="32"/>
      <c r="Y487" s="32"/>
      <c r="Z487" s="32"/>
      <c r="AA487" s="32"/>
      <c r="AB487" s="32"/>
      <c r="AC487" s="32"/>
      <c r="AD487" s="32"/>
      <c r="AE487" s="32"/>
    </row>
    <row r="488" ht="15.75" customHeight="1"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6"/>
      <c r="P488" s="6"/>
      <c r="Q488" s="6"/>
      <c r="R488" s="6"/>
      <c r="S488" s="32"/>
      <c r="T488" s="32"/>
      <c r="U488" s="6"/>
      <c r="W488" s="32"/>
      <c r="X488" s="32"/>
      <c r="Y488" s="32"/>
      <c r="Z488" s="32"/>
      <c r="AA488" s="32"/>
      <c r="AB488" s="32"/>
      <c r="AC488" s="32"/>
      <c r="AD488" s="32"/>
      <c r="AE488" s="32"/>
    </row>
    <row r="489" ht="15.75" customHeight="1"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6"/>
      <c r="P489" s="6"/>
      <c r="Q489" s="6"/>
      <c r="R489" s="6"/>
      <c r="S489" s="32"/>
      <c r="T489" s="32"/>
      <c r="U489" s="6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ht="15.75" customHeight="1"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6"/>
      <c r="P490" s="6"/>
      <c r="Q490" s="6"/>
      <c r="R490" s="6"/>
      <c r="S490" s="32"/>
      <c r="T490" s="32"/>
      <c r="U490" s="6"/>
      <c r="W490" s="32"/>
      <c r="X490" s="32"/>
      <c r="Y490" s="32"/>
      <c r="Z490" s="32"/>
      <c r="AA490" s="32"/>
      <c r="AB490" s="32"/>
      <c r="AC490" s="32"/>
      <c r="AD490" s="32"/>
      <c r="AE490" s="32"/>
    </row>
    <row r="491" ht="15.75" customHeight="1"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6"/>
      <c r="P491" s="6"/>
      <c r="Q491" s="6"/>
      <c r="R491" s="6"/>
      <c r="S491" s="32"/>
      <c r="T491" s="32"/>
      <c r="U491" s="6"/>
      <c r="W491" s="32"/>
      <c r="X491" s="32"/>
      <c r="Y491" s="32"/>
      <c r="Z491" s="32"/>
      <c r="AA491" s="32"/>
      <c r="AB491" s="32"/>
      <c r="AC491" s="32"/>
      <c r="AD491" s="32"/>
      <c r="AE491" s="32"/>
    </row>
    <row r="492" ht="15.75" customHeight="1"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6"/>
      <c r="P492" s="6"/>
      <c r="Q492" s="6"/>
      <c r="R492" s="6"/>
      <c r="S492" s="32"/>
      <c r="T492" s="32"/>
      <c r="U492" s="6"/>
      <c r="W492" s="32"/>
      <c r="X492" s="32"/>
      <c r="Y492" s="32"/>
      <c r="Z492" s="32"/>
      <c r="AA492" s="32"/>
      <c r="AB492" s="32"/>
      <c r="AC492" s="32"/>
      <c r="AD492" s="32"/>
      <c r="AE492" s="32"/>
    </row>
    <row r="493" ht="15.75" customHeight="1"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6"/>
      <c r="P493" s="6"/>
      <c r="Q493" s="6"/>
      <c r="R493" s="6"/>
      <c r="S493" s="32"/>
      <c r="T493" s="32"/>
      <c r="U493" s="6"/>
      <c r="W493" s="32"/>
      <c r="X493" s="32"/>
      <c r="Y493" s="32"/>
      <c r="Z493" s="32"/>
      <c r="AA493" s="32"/>
      <c r="AB493" s="32"/>
      <c r="AC493" s="32"/>
      <c r="AD493" s="32"/>
      <c r="AE493" s="32"/>
    </row>
    <row r="494" ht="15.75" customHeight="1"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6"/>
      <c r="P494" s="6"/>
      <c r="Q494" s="6"/>
      <c r="R494" s="6"/>
      <c r="S494" s="32"/>
      <c r="T494" s="32"/>
      <c r="U494" s="6"/>
      <c r="W494" s="32"/>
      <c r="X494" s="32"/>
      <c r="Y494" s="32"/>
      <c r="Z494" s="32"/>
      <c r="AA494" s="32"/>
      <c r="AB494" s="32"/>
      <c r="AC494" s="32"/>
      <c r="AD494" s="32"/>
      <c r="AE494" s="32"/>
    </row>
    <row r="495" ht="15.75" customHeight="1"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6"/>
      <c r="P495" s="6"/>
      <c r="Q495" s="6"/>
      <c r="R495" s="6"/>
      <c r="S495" s="32"/>
      <c r="T495" s="32"/>
      <c r="U495" s="6"/>
      <c r="W495" s="32"/>
      <c r="X495" s="32"/>
      <c r="Y495" s="32"/>
      <c r="Z495" s="32"/>
      <c r="AA495" s="32"/>
      <c r="AB495" s="32"/>
      <c r="AC495" s="32"/>
      <c r="AD495" s="32"/>
      <c r="AE495" s="32"/>
    </row>
    <row r="496" ht="15.75" customHeight="1"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6"/>
      <c r="P496" s="6"/>
      <c r="Q496" s="6"/>
      <c r="R496" s="6"/>
      <c r="S496" s="32"/>
      <c r="T496" s="32"/>
      <c r="U496" s="6"/>
      <c r="W496" s="32"/>
      <c r="X496" s="32"/>
      <c r="Y496" s="32"/>
      <c r="Z496" s="32"/>
      <c r="AA496" s="32"/>
      <c r="AB496" s="32"/>
      <c r="AC496" s="32"/>
      <c r="AD496" s="32"/>
      <c r="AE496" s="32"/>
    </row>
    <row r="497" ht="15.75" customHeight="1"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6"/>
      <c r="P497" s="6"/>
      <c r="Q497" s="6"/>
      <c r="R497" s="6"/>
      <c r="S497" s="32"/>
      <c r="T497" s="32"/>
      <c r="U497" s="6"/>
      <c r="W497" s="32"/>
      <c r="X497" s="32"/>
      <c r="Y497" s="32"/>
      <c r="Z497" s="32"/>
      <c r="AA497" s="32"/>
      <c r="AB497" s="32"/>
      <c r="AC497" s="32"/>
      <c r="AD497" s="32"/>
      <c r="AE497" s="32"/>
    </row>
    <row r="498" ht="15.75" customHeight="1"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6"/>
      <c r="P498" s="6"/>
      <c r="Q498" s="6"/>
      <c r="R498" s="6"/>
      <c r="S498" s="32"/>
      <c r="T498" s="32"/>
      <c r="U498" s="6"/>
      <c r="W498" s="32"/>
      <c r="X498" s="32"/>
      <c r="Y498" s="32"/>
      <c r="Z498" s="32"/>
      <c r="AA498" s="32"/>
      <c r="AB498" s="32"/>
      <c r="AC498" s="32"/>
      <c r="AD498" s="32"/>
      <c r="AE498" s="32"/>
    </row>
    <row r="499" ht="15.75" customHeight="1"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6"/>
      <c r="P499" s="6"/>
      <c r="Q499" s="6"/>
      <c r="R499" s="6"/>
      <c r="S499" s="32"/>
      <c r="T499" s="32"/>
      <c r="U499" s="6"/>
      <c r="W499" s="32"/>
      <c r="X499" s="32"/>
      <c r="Y499" s="32"/>
      <c r="Z499" s="32"/>
      <c r="AA499" s="32"/>
      <c r="AB499" s="32"/>
      <c r="AC499" s="32"/>
      <c r="AD499" s="32"/>
      <c r="AE499" s="32"/>
    </row>
    <row r="500" ht="15.75" customHeight="1"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6"/>
      <c r="P500" s="6"/>
      <c r="Q500" s="6"/>
      <c r="R500" s="6"/>
      <c r="S500" s="32"/>
      <c r="T500" s="32"/>
      <c r="U500" s="6"/>
      <c r="W500" s="32"/>
      <c r="X500" s="32"/>
      <c r="Y500" s="32"/>
      <c r="Z500" s="32"/>
      <c r="AA500" s="32"/>
      <c r="AB500" s="32"/>
      <c r="AC500" s="32"/>
      <c r="AD500" s="32"/>
      <c r="AE500" s="32"/>
    </row>
    <row r="501" ht="15.75" customHeight="1"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6"/>
      <c r="P501" s="6"/>
      <c r="Q501" s="6"/>
      <c r="R501" s="6"/>
      <c r="S501" s="32"/>
      <c r="T501" s="32"/>
      <c r="U501" s="6"/>
      <c r="W501" s="32"/>
      <c r="X501" s="32"/>
      <c r="Y501" s="32"/>
      <c r="Z501" s="32"/>
      <c r="AA501" s="32"/>
      <c r="AB501" s="32"/>
      <c r="AC501" s="32"/>
      <c r="AD501" s="32"/>
      <c r="AE501" s="32"/>
    </row>
    <row r="502" ht="15.75" customHeight="1"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6"/>
      <c r="P502" s="6"/>
      <c r="Q502" s="6"/>
      <c r="R502" s="6"/>
      <c r="S502" s="32"/>
      <c r="T502" s="32"/>
      <c r="U502" s="6"/>
      <c r="W502" s="32"/>
      <c r="X502" s="32"/>
      <c r="Y502" s="32"/>
      <c r="Z502" s="32"/>
      <c r="AA502" s="32"/>
      <c r="AB502" s="32"/>
      <c r="AC502" s="32"/>
      <c r="AD502" s="32"/>
      <c r="AE502" s="32"/>
    </row>
    <row r="503" ht="15.75" customHeight="1"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6"/>
      <c r="P503" s="6"/>
      <c r="Q503" s="6"/>
      <c r="R503" s="6"/>
      <c r="S503" s="32"/>
      <c r="T503" s="32"/>
      <c r="U503" s="6"/>
      <c r="W503" s="32"/>
      <c r="X503" s="32"/>
      <c r="Y503" s="32"/>
      <c r="Z503" s="32"/>
      <c r="AA503" s="32"/>
      <c r="AB503" s="32"/>
      <c r="AC503" s="32"/>
      <c r="AD503" s="32"/>
      <c r="AE503" s="32"/>
    </row>
    <row r="504" ht="15.75" customHeight="1"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6"/>
      <c r="P504" s="6"/>
      <c r="Q504" s="6"/>
      <c r="R504" s="6"/>
      <c r="S504" s="32"/>
      <c r="T504" s="32"/>
      <c r="U504" s="6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ht="15.75" customHeight="1"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6"/>
      <c r="P505" s="6"/>
      <c r="Q505" s="6"/>
      <c r="R505" s="6"/>
      <c r="S505" s="32"/>
      <c r="T505" s="32"/>
      <c r="U505" s="6"/>
      <c r="W505" s="32"/>
      <c r="X505" s="32"/>
      <c r="Y505" s="32"/>
      <c r="Z505" s="32"/>
      <c r="AA505" s="32"/>
      <c r="AB505" s="32"/>
      <c r="AC505" s="32"/>
      <c r="AD505" s="32"/>
      <c r="AE505" s="32"/>
    </row>
    <row r="506" ht="15.75" customHeight="1"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6"/>
      <c r="P506" s="6"/>
      <c r="Q506" s="6"/>
      <c r="R506" s="6"/>
      <c r="S506" s="32"/>
      <c r="T506" s="32"/>
      <c r="U506" s="6"/>
      <c r="W506" s="32"/>
      <c r="X506" s="32"/>
      <c r="Y506" s="32"/>
      <c r="Z506" s="32"/>
      <c r="AA506" s="32"/>
      <c r="AB506" s="32"/>
      <c r="AC506" s="32"/>
      <c r="AD506" s="32"/>
      <c r="AE506" s="32"/>
    </row>
    <row r="507" ht="15.75" customHeight="1"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6"/>
      <c r="P507" s="6"/>
      <c r="Q507" s="6"/>
      <c r="R507" s="6"/>
      <c r="S507" s="32"/>
      <c r="T507" s="32"/>
      <c r="U507" s="6"/>
      <c r="W507" s="32"/>
      <c r="X507" s="32"/>
      <c r="Y507" s="32"/>
      <c r="Z507" s="32"/>
      <c r="AA507" s="32"/>
      <c r="AB507" s="32"/>
      <c r="AC507" s="32"/>
      <c r="AD507" s="32"/>
      <c r="AE507" s="32"/>
    </row>
    <row r="508" ht="15.75" customHeight="1"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6"/>
      <c r="P508" s="6"/>
      <c r="Q508" s="6"/>
      <c r="R508" s="6"/>
      <c r="S508" s="32"/>
      <c r="T508" s="32"/>
      <c r="U508" s="6"/>
      <c r="W508" s="32"/>
      <c r="X508" s="32"/>
      <c r="Y508" s="32"/>
      <c r="Z508" s="32"/>
      <c r="AA508" s="32"/>
      <c r="AB508" s="32"/>
      <c r="AC508" s="32"/>
      <c r="AD508" s="32"/>
      <c r="AE508" s="32"/>
    </row>
    <row r="509" ht="15.75" customHeight="1"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6"/>
      <c r="P509" s="6"/>
      <c r="Q509" s="6"/>
      <c r="R509" s="6"/>
      <c r="S509" s="32"/>
      <c r="T509" s="32"/>
      <c r="U509" s="6"/>
      <c r="W509" s="32"/>
      <c r="X509" s="32"/>
      <c r="Y509" s="32"/>
      <c r="Z509" s="32"/>
      <c r="AA509" s="32"/>
      <c r="AB509" s="32"/>
      <c r="AC509" s="32"/>
      <c r="AD509" s="32"/>
      <c r="AE509" s="32"/>
    </row>
    <row r="510" ht="15.75" customHeight="1"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6"/>
      <c r="P510" s="6"/>
      <c r="Q510" s="6"/>
      <c r="R510" s="6"/>
      <c r="S510" s="32"/>
      <c r="T510" s="32"/>
      <c r="U510" s="6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ht="15.75" customHeight="1"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6"/>
      <c r="P511" s="6"/>
      <c r="Q511" s="6"/>
      <c r="R511" s="6"/>
      <c r="S511" s="32"/>
      <c r="T511" s="32"/>
      <c r="U511" s="6"/>
      <c r="W511" s="32"/>
      <c r="X511" s="32"/>
      <c r="Y511" s="32"/>
      <c r="Z511" s="32"/>
      <c r="AA511" s="32"/>
      <c r="AB511" s="32"/>
      <c r="AC511" s="32"/>
      <c r="AD511" s="32"/>
      <c r="AE511" s="32"/>
    </row>
    <row r="512" ht="15.75" customHeight="1"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6"/>
      <c r="P512" s="6"/>
      <c r="Q512" s="6"/>
      <c r="R512" s="6"/>
      <c r="S512" s="32"/>
      <c r="T512" s="32"/>
      <c r="U512" s="6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ht="15.75" customHeight="1"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6"/>
      <c r="P513" s="6"/>
      <c r="Q513" s="6"/>
      <c r="R513" s="6"/>
      <c r="S513" s="32"/>
      <c r="T513" s="32"/>
      <c r="U513" s="6"/>
      <c r="W513" s="32"/>
      <c r="X513" s="32"/>
      <c r="Y513" s="32"/>
      <c r="Z513" s="32"/>
      <c r="AA513" s="32"/>
      <c r="AB513" s="32"/>
      <c r="AC513" s="32"/>
      <c r="AD513" s="32"/>
      <c r="AE513" s="32"/>
    </row>
    <row r="514" ht="15.75" customHeight="1"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6"/>
      <c r="P514" s="6"/>
      <c r="Q514" s="6"/>
      <c r="R514" s="6"/>
      <c r="S514" s="32"/>
      <c r="T514" s="32"/>
      <c r="U514" s="6"/>
      <c r="W514" s="32"/>
      <c r="X514" s="32"/>
      <c r="Y514" s="32"/>
      <c r="Z514" s="32"/>
      <c r="AA514" s="32"/>
      <c r="AB514" s="32"/>
      <c r="AC514" s="32"/>
      <c r="AD514" s="32"/>
      <c r="AE514" s="32"/>
    </row>
    <row r="515" ht="15.75" customHeight="1"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6"/>
      <c r="P515" s="6"/>
      <c r="Q515" s="6"/>
      <c r="R515" s="6"/>
      <c r="S515" s="32"/>
      <c r="T515" s="32"/>
      <c r="U515" s="6"/>
      <c r="W515" s="32"/>
      <c r="X515" s="32"/>
      <c r="Y515" s="32"/>
      <c r="Z515" s="32"/>
      <c r="AA515" s="32"/>
      <c r="AB515" s="32"/>
      <c r="AC515" s="32"/>
      <c r="AD515" s="32"/>
      <c r="AE515" s="32"/>
    </row>
    <row r="516" ht="15.75" customHeight="1"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6"/>
      <c r="P516" s="6"/>
      <c r="Q516" s="6"/>
      <c r="R516" s="6"/>
      <c r="S516" s="32"/>
      <c r="T516" s="32"/>
      <c r="U516" s="6"/>
      <c r="W516" s="32"/>
      <c r="X516" s="32"/>
      <c r="Y516" s="32"/>
      <c r="Z516" s="32"/>
      <c r="AA516" s="32"/>
      <c r="AB516" s="32"/>
      <c r="AC516" s="32"/>
      <c r="AD516" s="32"/>
      <c r="AE516" s="32"/>
    </row>
    <row r="517" ht="15.75" customHeight="1"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6"/>
      <c r="P517" s="6"/>
      <c r="Q517" s="6"/>
      <c r="R517" s="6"/>
      <c r="S517" s="32"/>
      <c r="T517" s="32"/>
      <c r="U517" s="6"/>
      <c r="W517" s="32"/>
      <c r="X517" s="32"/>
      <c r="Y517" s="32"/>
      <c r="Z517" s="32"/>
      <c r="AA517" s="32"/>
      <c r="AB517" s="32"/>
      <c r="AC517" s="32"/>
      <c r="AD517" s="32"/>
      <c r="AE517" s="32"/>
    </row>
    <row r="518" ht="15.75" customHeight="1"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6"/>
      <c r="P518" s="6"/>
      <c r="Q518" s="6"/>
      <c r="R518" s="6"/>
      <c r="S518" s="32"/>
      <c r="T518" s="32"/>
      <c r="U518" s="6"/>
      <c r="W518" s="32"/>
      <c r="X518" s="32"/>
      <c r="Y518" s="32"/>
      <c r="Z518" s="32"/>
      <c r="AA518" s="32"/>
      <c r="AB518" s="32"/>
      <c r="AC518" s="32"/>
      <c r="AD518" s="32"/>
      <c r="AE518" s="32"/>
    </row>
    <row r="519" ht="15.75" customHeight="1"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6"/>
      <c r="P519" s="6"/>
      <c r="Q519" s="6"/>
      <c r="R519" s="6"/>
      <c r="S519" s="32"/>
      <c r="T519" s="32"/>
      <c r="U519" s="6"/>
      <c r="W519" s="32"/>
      <c r="X519" s="32"/>
      <c r="Y519" s="32"/>
      <c r="Z519" s="32"/>
      <c r="AA519" s="32"/>
      <c r="AB519" s="32"/>
      <c r="AC519" s="32"/>
      <c r="AD519" s="32"/>
      <c r="AE519" s="32"/>
    </row>
    <row r="520" ht="15.75" customHeight="1"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6"/>
      <c r="P520" s="6"/>
      <c r="Q520" s="6"/>
      <c r="R520" s="6"/>
      <c r="S520" s="32"/>
      <c r="T520" s="32"/>
      <c r="U520" s="6"/>
      <c r="W520" s="32"/>
      <c r="X520" s="32"/>
      <c r="Y520" s="32"/>
      <c r="Z520" s="32"/>
      <c r="AA520" s="32"/>
      <c r="AB520" s="32"/>
      <c r="AC520" s="32"/>
      <c r="AD520" s="32"/>
      <c r="AE520" s="32"/>
    </row>
    <row r="521" ht="15.75" customHeight="1"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6"/>
      <c r="P521" s="6"/>
      <c r="Q521" s="6"/>
      <c r="R521" s="6"/>
      <c r="S521" s="32"/>
      <c r="T521" s="32"/>
      <c r="U521" s="6"/>
      <c r="W521" s="32"/>
      <c r="X521" s="32"/>
      <c r="Y521" s="32"/>
      <c r="Z521" s="32"/>
      <c r="AA521" s="32"/>
      <c r="AB521" s="32"/>
      <c r="AC521" s="32"/>
      <c r="AD521" s="32"/>
      <c r="AE521" s="32"/>
    </row>
    <row r="522" ht="15.75" customHeight="1"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6"/>
      <c r="P522" s="6"/>
      <c r="Q522" s="6"/>
      <c r="R522" s="6"/>
      <c r="S522" s="32"/>
      <c r="T522" s="32"/>
      <c r="U522" s="6"/>
      <c r="W522" s="32"/>
      <c r="X522" s="32"/>
      <c r="Y522" s="32"/>
      <c r="Z522" s="32"/>
      <c r="AA522" s="32"/>
      <c r="AB522" s="32"/>
      <c r="AC522" s="32"/>
      <c r="AD522" s="32"/>
      <c r="AE522" s="32"/>
    </row>
    <row r="523" ht="15.75" customHeight="1"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6"/>
      <c r="P523" s="6"/>
      <c r="Q523" s="6"/>
      <c r="R523" s="6"/>
      <c r="S523" s="32"/>
      <c r="T523" s="32"/>
      <c r="U523" s="6"/>
      <c r="W523" s="32"/>
      <c r="X523" s="32"/>
      <c r="Y523" s="32"/>
      <c r="Z523" s="32"/>
      <c r="AA523" s="32"/>
      <c r="AB523" s="32"/>
      <c r="AC523" s="32"/>
      <c r="AD523" s="32"/>
      <c r="AE523" s="32"/>
    </row>
    <row r="524" ht="15.75" customHeight="1"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6"/>
      <c r="P524" s="6"/>
      <c r="Q524" s="6"/>
      <c r="R524" s="6"/>
      <c r="S524" s="32"/>
      <c r="T524" s="32"/>
      <c r="U524" s="6"/>
      <c r="W524" s="32"/>
      <c r="X524" s="32"/>
      <c r="Y524" s="32"/>
      <c r="Z524" s="32"/>
      <c r="AA524" s="32"/>
      <c r="AB524" s="32"/>
      <c r="AC524" s="32"/>
      <c r="AD524" s="32"/>
      <c r="AE524" s="32"/>
    </row>
    <row r="525" ht="15.75" customHeight="1"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6"/>
      <c r="P525" s="6"/>
      <c r="Q525" s="6"/>
      <c r="R525" s="6"/>
      <c r="S525" s="32"/>
      <c r="T525" s="32"/>
      <c r="U525" s="6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ht="15.75" customHeight="1"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6"/>
      <c r="P526" s="6"/>
      <c r="Q526" s="6"/>
      <c r="R526" s="6"/>
      <c r="S526" s="32"/>
      <c r="T526" s="32"/>
      <c r="U526" s="6"/>
      <c r="W526" s="32"/>
      <c r="X526" s="32"/>
      <c r="Y526" s="32"/>
      <c r="Z526" s="32"/>
      <c r="AA526" s="32"/>
      <c r="AB526" s="32"/>
      <c r="AC526" s="32"/>
      <c r="AD526" s="32"/>
      <c r="AE526" s="32"/>
    </row>
    <row r="527" ht="15.75" customHeight="1"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6"/>
      <c r="P527" s="6"/>
      <c r="Q527" s="6"/>
      <c r="R527" s="6"/>
      <c r="S527" s="32"/>
      <c r="T527" s="32"/>
      <c r="U527" s="6"/>
      <c r="W527" s="32"/>
      <c r="X527" s="32"/>
      <c r="Y527" s="32"/>
      <c r="Z527" s="32"/>
      <c r="AA527" s="32"/>
      <c r="AB527" s="32"/>
      <c r="AC527" s="32"/>
      <c r="AD527" s="32"/>
      <c r="AE527" s="32"/>
    </row>
    <row r="528" ht="15.75" customHeight="1"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6"/>
      <c r="P528" s="6"/>
      <c r="Q528" s="6"/>
      <c r="R528" s="6"/>
      <c r="S528" s="32"/>
      <c r="T528" s="32"/>
      <c r="U528" s="6"/>
      <c r="W528" s="32"/>
      <c r="X528" s="32"/>
      <c r="Y528" s="32"/>
      <c r="Z528" s="32"/>
      <c r="AA528" s="32"/>
      <c r="AB528" s="32"/>
      <c r="AC528" s="32"/>
      <c r="AD528" s="32"/>
      <c r="AE528" s="32"/>
    </row>
    <row r="529" ht="15.75" customHeight="1"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6"/>
      <c r="P529" s="6"/>
      <c r="Q529" s="6"/>
      <c r="R529" s="6"/>
      <c r="S529" s="32"/>
      <c r="T529" s="32"/>
      <c r="U529" s="6"/>
      <c r="W529" s="32"/>
      <c r="X529" s="32"/>
      <c r="Y529" s="32"/>
      <c r="Z529" s="32"/>
      <c r="AA529" s="32"/>
      <c r="AB529" s="32"/>
      <c r="AC529" s="32"/>
      <c r="AD529" s="32"/>
      <c r="AE529" s="32"/>
    </row>
    <row r="530" ht="15.75" customHeight="1"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6"/>
      <c r="P530" s="6"/>
      <c r="Q530" s="6"/>
      <c r="R530" s="6"/>
      <c r="S530" s="32"/>
      <c r="T530" s="32"/>
      <c r="U530" s="6"/>
      <c r="W530" s="32"/>
      <c r="X530" s="32"/>
      <c r="Y530" s="32"/>
      <c r="Z530" s="32"/>
      <c r="AA530" s="32"/>
      <c r="AB530" s="32"/>
      <c r="AC530" s="32"/>
      <c r="AD530" s="32"/>
      <c r="AE530" s="32"/>
    </row>
    <row r="531" ht="15.75" customHeight="1"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6"/>
      <c r="P531" s="6"/>
      <c r="Q531" s="6"/>
      <c r="R531" s="6"/>
      <c r="S531" s="32"/>
      <c r="T531" s="32"/>
      <c r="U531" s="6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ht="15.75" customHeight="1"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6"/>
      <c r="P532" s="6"/>
      <c r="Q532" s="6"/>
      <c r="R532" s="6"/>
      <c r="S532" s="32"/>
      <c r="T532" s="32"/>
      <c r="U532" s="6"/>
      <c r="W532" s="32"/>
      <c r="X532" s="32"/>
      <c r="Y532" s="32"/>
      <c r="Z532" s="32"/>
      <c r="AA532" s="32"/>
      <c r="AB532" s="32"/>
      <c r="AC532" s="32"/>
      <c r="AD532" s="32"/>
      <c r="AE532" s="32"/>
    </row>
    <row r="533" ht="15.75" customHeight="1"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6"/>
      <c r="P533" s="6"/>
      <c r="Q533" s="6"/>
      <c r="R533" s="6"/>
      <c r="S533" s="32"/>
      <c r="T533" s="32"/>
      <c r="U533" s="6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ht="15.75" customHeight="1"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6"/>
      <c r="P534" s="6"/>
      <c r="Q534" s="6"/>
      <c r="R534" s="6"/>
      <c r="S534" s="32"/>
      <c r="T534" s="32"/>
      <c r="U534" s="6"/>
      <c r="W534" s="32"/>
      <c r="X534" s="32"/>
      <c r="Y534" s="32"/>
      <c r="Z534" s="32"/>
      <c r="AA534" s="32"/>
      <c r="AB534" s="32"/>
      <c r="AC534" s="32"/>
      <c r="AD534" s="32"/>
      <c r="AE534" s="32"/>
    </row>
    <row r="535" ht="15.75" customHeight="1"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6"/>
      <c r="P535" s="6"/>
      <c r="Q535" s="6"/>
      <c r="R535" s="6"/>
      <c r="S535" s="32"/>
      <c r="T535" s="32"/>
      <c r="U535" s="6"/>
      <c r="W535" s="32"/>
      <c r="X535" s="32"/>
      <c r="Y535" s="32"/>
      <c r="Z535" s="32"/>
      <c r="AA535" s="32"/>
      <c r="AB535" s="32"/>
      <c r="AC535" s="32"/>
      <c r="AD535" s="32"/>
      <c r="AE535" s="32"/>
    </row>
    <row r="536" ht="15.75" customHeight="1"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6"/>
      <c r="P536" s="6"/>
      <c r="Q536" s="6"/>
      <c r="R536" s="6"/>
      <c r="S536" s="32"/>
      <c r="T536" s="32"/>
      <c r="U536" s="6"/>
      <c r="W536" s="32"/>
      <c r="X536" s="32"/>
      <c r="Y536" s="32"/>
      <c r="Z536" s="32"/>
      <c r="AA536" s="32"/>
      <c r="AB536" s="32"/>
      <c r="AC536" s="32"/>
      <c r="AD536" s="32"/>
      <c r="AE536" s="32"/>
    </row>
    <row r="537" ht="15.75" customHeight="1"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6"/>
      <c r="P537" s="6"/>
      <c r="Q537" s="6"/>
      <c r="R537" s="6"/>
      <c r="S537" s="32"/>
      <c r="T537" s="32"/>
      <c r="U537" s="6"/>
      <c r="W537" s="32"/>
      <c r="X537" s="32"/>
      <c r="Y537" s="32"/>
      <c r="Z537" s="32"/>
      <c r="AA537" s="32"/>
      <c r="AB537" s="32"/>
      <c r="AC537" s="32"/>
      <c r="AD537" s="32"/>
      <c r="AE537" s="32"/>
    </row>
    <row r="538" ht="15.75" customHeight="1"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6"/>
      <c r="P538" s="6"/>
      <c r="Q538" s="6"/>
      <c r="R538" s="6"/>
      <c r="S538" s="32"/>
      <c r="T538" s="32"/>
      <c r="U538" s="6"/>
      <c r="W538" s="32"/>
      <c r="X538" s="32"/>
      <c r="Y538" s="32"/>
      <c r="Z538" s="32"/>
      <c r="AA538" s="32"/>
      <c r="AB538" s="32"/>
      <c r="AC538" s="32"/>
      <c r="AD538" s="32"/>
      <c r="AE538" s="32"/>
    </row>
    <row r="539" ht="15.75" customHeight="1"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6"/>
      <c r="P539" s="6"/>
      <c r="Q539" s="6"/>
      <c r="R539" s="6"/>
      <c r="S539" s="32"/>
      <c r="T539" s="32"/>
      <c r="U539" s="6"/>
      <c r="W539" s="32"/>
      <c r="X539" s="32"/>
      <c r="Y539" s="32"/>
      <c r="Z539" s="32"/>
      <c r="AA539" s="32"/>
      <c r="AB539" s="32"/>
      <c r="AC539" s="32"/>
      <c r="AD539" s="32"/>
      <c r="AE539" s="32"/>
    </row>
    <row r="540" ht="15.75" customHeight="1"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6"/>
      <c r="P540" s="6"/>
      <c r="Q540" s="6"/>
      <c r="R540" s="6"/>
      <c r="S540" s="32"/>
      <c r="T540" s="32"/>
      <c r="U540" s="6"/>
      <c r="W540" s="32"/>
      <c r="X540" s="32"/>
      <c r="Y540" s="32"/>
      <c r="Z540" s="32"/>
      <c r="AA540" s="32"/>
      <c r="AB540" s="32"/>
      <c r="AC540" s="32"/>
      <c r="AD540" s="32"/>
      <c r="AE540" s="32"/>
    </row>
    <row r="541" ht="15.75" customHeight="1"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6"/>
      <c r="P541" s="6"/>
      <c r="Q541" s="6"/>
      <c r="R541" s="6"/>
      <c r="S541" s="32"/>
      <c r="T541" s="32"/>
      <c r="U541" s="6"/>
      <c r="W541" s="32"/>
      <c r="X541" s="32"/>
      <c r="Y541" s="32"/>
      <c r="Z541" s="32"/>
      <c r="AA541" s="32"/>
      <c r="AB541" s="32"/>
      <c r="AC541" s="32"/>
      <c r="AD541" s="32"/>
      <c r="AE541" s="32"/>
    </row>
    <row r="542" ht="15.75" customHeight="1"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6"/>
      <c r="P542" s="6"/>
      <c r="Q542" s="6"/>
      <c r="R542" s="6"/>
      <c r="S542" s="32"/>
      <c r="T542" s="32"/>
      <c r="U542" s="6"/>
      <c r="W542" s="32"/>
      <c r="X542" s="32"/>
      <c r="Y542" s="32"/>
      <c r="Z542" s="32"/>
      <c r="AA542" s="32"/>
      <c r="AB542" s="32"/>
      <c r="AC542" s="32"/>
      <c r="AD542" s="32"/>
      <c r="AE542" s="32"/>
    </row>
    <row r="543" ht="15.75" customHeight="1"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6"/>
      <c r="P543" s="6"/>
      <c r="Q543" s="6"/>
      <c r="R543" s="6"/>
      <c r="S543" s="32"/>
      <c r="T543" s="32"/>
      <c r="U543" s="6"/>
      <c r="W543" s="32"/>
      <c r="X543" s="32"/>
      <c r="Y543" s="32"/>
      <c r="Z543" s="32"/>
      <c r="AA543" s="32"/>
      <c r="AB543" s="32"/>
      <c r="AC543" s="32"/>
      <c r="AD543" s="32"/>
      <c r="AE543" s="32"/>
    </row>
    <row r="544" ht="15.75" customHeight="1"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6"/>
      <c r="P544" s="6"/>
      <c r="Q544" s="6"/>
      <c r="R544" s="6"/>
      <c r="S544" s="32"/>
      <c r="T544" s="32"/>
      <c r="U544" s="6"/>
      <c r="W544" s="32"/>
      <c r="X544" s="32"/>
      <c r="Y544" s="32"/>
      <c r="Z544" s="32"/>
      <c r="AA544" s="32"/>
      <c r="AB544" s="32"/>
      <c r="AC544" s="32"/>
      <c r="AD544" s="32"/>
      <c r="AE544" s="32"/>
    </row>
    <row r="545" ht="15.75" customHeight="1"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6"/>
      <c r="P545" s="6"/>
      <c r="Q545" s="6"/>
      <c r="R545" s="6"/>
      <c r="S545" s="32"/>
      <c r="T545" s="32"/>
      <c r="U545" s="6"/>
      <c r="W545" s="32"/>
      <c r="X545" s="32"/>
      <c r="Y545" s="32"/>
      <c r="Z545" s="32"/>
      <c r="AA545" s="32"/>
      <c r="AB545" s="32"/>
      <c r="AC545" s="32"/>
      <c r="AD545" s="32"/>
      <c r="AE545" s="32"/>
    </row>
    <row r="546" ht="15.75" customHeight="1"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6"/>
      <c r="P546" s="6"/>
      <c r="Q546" s="6"/>
      <c r="R546" s="6"/>
      <c r="S546" s="32"/>
      <c r="T546" s="32"/>
      <c r="U546" s="6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ht="15.75" customHeight="1"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6"/>
      <c r="P547" s="6"/>
      <c r="Q547" s="6"/>
      <c r="R547" s="6"/>
      <c r="S547" s="32"/>
      <c r="T547" s="32"/>
      <c r="U547" s="6"/>
      <c r="W547" s="32"/>
      <c r="X547" s="32"/>
      <c r="Y547" s="32"/>
      <c r="Z547" s="32"/>
      <c r="AA547" s="32"/>
      <c r="AB547" s="32"/>
      <c r="AC547" s="32"/>
      <c r="AD547" s="32"/>
      <c r="AE547" s="32"/>
    </row>
    <row r="548" ht="15.75" customHeight="1"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6"/>
      <c r="P548" s="6"/>
      <c r="Q548" s="6"/>
      <c r="R548" s="6"/>
      <c r="S548" s="32"/>
      <c r="T548" s="32"/>
      <c r="U548" s="6"/>
      <c r="W548" s="32"/>
      <c r="X548" s="32"/>
      <c r="Y548" s="32"/>
      <c r="Z548" s="32"/>
      <c r="AA548" s="32"/>
      <c r="AB548" s="32"/>
      <c r="AC548" s="32"/>
      <c r="AD548" s="32"/>
      <c r="AE548" s="32"/>
    </row>
    <row r="549" ht="15.75" customHeight="1"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6"/>
      <c r="P549" s="6"/>
      <c r="Q549" s="6"/>
      <c r="R549" s="6"/>
      <c r="S549" s="32"/>
      <c r="T549" s="32"/>
      <c r="U549" s="6"/>
      <c r="W549" s="32"/>
      <c r="X549" s="32"/>
      <c r="Y549" s="32"/>
      <c r="Z549" s="32"/>
      <c r="AA549" s="32"/>
      <c r="AB549" s="32"/>
      <c r="AC549" s="32"/>
      <c r="AD549" s="32"/>
      <c r="AE549" s="32"/>
    </row>
    <row r="550" ht="15.75" customHeight="1"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6"/>
      <c r="P550" s="6"/>
      <c r="Q550" s="6"/>
      <c r="R550" s="6"/>
      <c r="S550" s="32"/>
      <c r="T550" s="32"/>
      <c r="U550" s="6"/>
      <c r="W550" s="32"/>
      <c r="X550" s="32"/>
      <c r="Y550" s="32"/>
      <c r="Z550" s="32"/>
      <c r="AA550" s="32"/>
      <c r="AB550" s="32"/>
      <c r="AC550" s="32"/>
      <c r="AD550" s="32"/>
      <c r="AE550" s="32"/>
    </row>
    <row r="551" ht="15.75" customHeight="1"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6"/>
      <c r="P551" s="6"/>
      <c r="Q551" s="6"/>
      <c r="R551" s="6"/>
      <c r="S551" s="32"/>
      <c r="T551" s="32"/>
      <c r="U551" s="6"/>
      <c r="W551" s="32"/>
      <c r="X551" s="32"/>
      <c r="Y551" s="32"/>
      <c r="Z551" s="32"/>
      <c r="AA551" s="32"/>
      <c r="AB551" s="32"/>
      <c r="AC551" s="32"/>
      <c r="AD551" s="32"/>
      <c r="AE551" s="32"/>
    </row>
    <row r="552" ht="15.75" customHeight="1"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6"/>
      <c r="P552" s="6"/>
      <c r="Q552" s="6"/>
      <c r="R552" s="6"/>
      <c r="S552" s="32"/>
      <c r="T552" s="32"/>
      <c r="U552" s="6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ht="15.75" customHeight="1"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6"/>
      <c r="P553" s="6"/>
      <c r="Q553" s="6"/>
      <c r="R553" s="6"/>
      <c r="S553" s="32"/>
      <c r="T553" s="32"/>
      <c r="U553" s="6"/>
      <c r="W553" s="32"/>
      <c r="X553" s="32"/>
      <c r="Y553" s="32"/>
      <c r="Z553" s="32"/>
      <c r="AA553" s="32"/>
      <c r="AB553" s="32"/>
      <c r="AC553" s="32"/>
      <c r="AD553" s="32"/>
      <c r="AE553" s="32"/>
    </row>
    <row r="554" ht="15.75" customHeight="1"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6"/>
      <c r="P554" s="6"/>
      <c r="Q554" s="6"/>
      <c r="R554" s="6"/>
      <c r="S554" s="32"/>
      <c r="T554" s="32"/>
      <c r="U554" s="6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ht="15.75" customHeight="1"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6"/>
      <c r="P555" s="6"/>
      <c r="Q555" s="6"/>
      <c r="R555" s="6"/>
      <c r="S555" s="32"/>
      <c r="T555" s="32"/>
      <c r="U555" s="6"/>
      <c r="W555" s="32"/>
      <c r="X555" s="32"/>
      <c r="Y555" s="32"/>
      <c r="Z555" s="32"/>
      <c r="AA555" s="32"/>
      <c r="AB555" s="32"/>
      <c r="AC555" s="32"/>
      <c r="AD555" s="32"/>
      <c r="AE555" s="32"/>
    </row>
    <row r="556" ht="15.75" customHeight="1"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6"/>
      <c r="P556" s="6"/>
      <c r="Q556" s="6"/>
      <c r="R556" s="6"/>
      <c r="S556" s="32"/>
      <c r="T556" s="32"/>
      <c r="U556" s="6"/>
      <c r="W556" s="32"/>
      <c r="X556" s="32"/>
      <c r="Y556" s="32"/>
      <c r="Z556" s="32"/>
      <c r="AA556" s="32"/>
      <c r="AB556" s="32"/>
      <c r="AC556" s="32"/>
      <c r="AD556" s="32"/>
      <c r="AE556" s="32"/>
    </row>
    <row r="557" ht="15.75" customHeight="1"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6"/>
      <c r="P557" s="6"/>
      <c r="Q557" s="6"/>
      <c r="R557" s="6"/>
      <c r="S557" s="32"/>
      <c r="T557" s="32"/>
      <c r="U557" s="6"/>
      <c r="W557" s="32"/>
      <c r="X557" s="32"/>
      <c r="Y557" s="32"/>
      <c r="Z557" s="32"/>
      <c r="AA557" s="32"/>
      <c r="AB557" s="32"/>
      <c r="AC557" s="32"/>
      <c r="AD557" s="32"/>
      <c r="AE557" s="32"/>
    </row>
    <row r="558" ht="15.75" customHeight="1"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6"/>
      <c r="P558" s="6"/>
      <c r="Q558" s="6"/>
      <c r="R558" s="6"/>
      <c r="S558" s="32"/>
      <c r="T558" s="32"/>
      <c r="U558" s="6"/>
      <c r="W558" s="32"/>
      <c r="X558" s="32"/>
      <c r="Y558" s="32"/>
      <c r="Z558" s="32"/>
      <c r="AA558" s="32"/>
      <c r="AB558" s="32"/>
      <c r="AC558" s="32"/>
      <c r="AD558" s="32"/>
      <c r="AE558" s="32"/>
    </row>
    <row r="559" ht="15.75" customHeight="1"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6"/>
      <c r="P559" s="6"/>
      <c r="Q559" s="6"/>
      <c r="R559" s="6"/>
      <c r="S559" s="32"/>
      <c r="T559" s="32"/>
      <c r="U559" s="6"/>
      <c r="W559" s="32"/>
      <c r="X559" s="32"/>
      <c r="Y559" s="32"/>
      <c r="Z559" s="32"/>
      <c r="AA559" s="32"/>
      <c r="AB559" s="32"/>
      <c r="AC559" s="32"/>
      <c r="AD559" s="32"/>
      <c r="AE559" s="32"/>
    </row>
    <row r="560" ht="15.75" customHeight="1"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6"/>
      <c r="P560" s="6"/>
      <c r="Q560" s="6"/>
      <c r="R560" s="6"/>
      <c r="S560" s="32"/>
      <c r="T560" s="32"/>
      <c r="U560" s="6"/>
      <c r="W560" s="32"/>
      <c r="X560" s="32"/>
      <c r="Y560" s="32"/>
      <c r="Z560" s="32"/>
      <c r="AA560" s="32"/>
      <c r="AB560" s="32"/>
      <c r="AC560" s="32"/>
      <c r="AD560" s="32"/>
      <c r="AE560" s="32"/>
    </row>
    <row r="561" ht="15.75" customHeight="1"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6"/>
      <c r="P561" s="6"/>
      <c r="Q561" s="6"/>
      <c r="R561" s="6"/>
      <c r="S561" s="32"/>
      <c r="T561" s="32"/>
      <c r="U561" s="6"/>
      <c r="W561" s="32"/>
      <c r="X561" s="32"/>
      <c r="Y561" s="32"/>
      <c r="Z561" s="32"/>
      <c r="AA561" s="32"/>
      <c r="AB561" s="32"/>
      <c r="AC561" s="32"/>
      <c r="AD561" s="32"/>
      <c r="AE561" s="32"/>
    </row>
    <row r="562" ht="15.75" customHeight="1"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6"/>
      <c r="P562" s="6"/>
      <c r="Q562" s="6"/>
      <c r="R562" s="6"/>
      <c r="S562" s="32"/>
      <c r="T562" s="32"/>
      <c r="U562" s="6"/>
      <c r="W562" s="32"/>
      <c r="X562" s="32"/>
      <c r="Y562" s="32"/>
      <c r="Z562" s="32"/>
      <c r="AA562" s="32"/>
      <c r="AB562" s="32"/>
      <c r="AC562" s="32"/>
      <c r="AD562" s="32"/>
      <c r="AE562" s="32"/>
    </row>
    <row r="563" ht="15.75" customHeight="1"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6"/>
      <c r="P563" s="6"/>
      <c r="Q563" s="6"/>
      <c r="R563" s="6"/>
      <c r="S563" s="32"/>
      <c r="T563" s="32"/>
      <c r="U563" s="6"/>
      <c r="W563" s="32"/>
      <c r="X563" s="32"/>
      <c r="Y563" s="32"/>
      <c r="Z563" s="32"/>
      <c r="AA563" s="32"/>
      <c r="AB563" s="32"/>
      <c r="AC563" s="32"/>
      <c r="AD563" s="32"/>
      <c r="AE563" s="32"/>
    </row>
    <row r="564" ht="15.75" customHeight="1"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6"/>
      <c r="P564" s="6"/>
      <c r="Q564" s="6"/>
      <c r="R564" s="6"/>
      <c r="S564" s="32"/>
      <c r="T564" s="32"/>
      <c r="U564" s="6"/>
      <c r="W564" s="32"/>
      <c r="X564" s="32"/>
      <c r="Y564" s="32"/>
      <c r="Z564" s="32"/>
      <c r="AA564" s="32"/>
      <c r="AB564" s="32"/>
      <c r="AC564" s="32"/>
      <c r="AD564" s="32"/>
      <c r="AE564" s="32"/>
    </row>
    <row r="565" ht="15.75" customHeight="1"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6"/>
      <c r="P565" s="6"/>
      <c r="Q565" s="6"/>
      <c r="R565" s="6"/>
      <c r="S565" s="32"/>
      <c r="T565" s="32"/>
      <c r="U565" s="6"/>
      <c r="W565" s="32"/>
      <c r="X565" s="32"/>
      <c r="Y565" s="32"/>
      <c r="Z565" s="32"/>
      <c r="AA565" s="32"/>
      <c r="AB565" s="32"/>
      <c r="AC565" s="32"/>
      <c r="AD565" s="32"/>
      <c r="AE565" s="32"/>
    </row>
    <row r="566" ht="15.75" customHeight="1"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6"/>
      <c r="P566" s="6"/>
      <c r="Q566" s="6"/>
      <c r="R566" s="6"/>
      <c r="S566" s="32"/>
      <c r="T566" s="32"/>
      <c r="U566" s="6"/>
      <c r="W566" s="32"/>
      <c r="X566" s="32"/>
      <c r="Y566" s="32"/>
      <c r="Z566" s="32"/>
      <c r="AA566" s="32"/>
      <c r="AB566" s="32"/>
      <c r="AC566" s="32"/>
      <c r="AD566" s="32"/>
      <c r="AE566" s="32"/>
    </row>
    <row r="567" ht="15.75" customHeight="1"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6"/>
      <c r="P567" s="6"/>
      <c r="Q567" s="6"/>
      <c r="R567" s="6"/>
      <c r="S567" s="32"/>
      <c r="T567" s="32"/>
      <c r="U567" s="6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ht="15.75" customHeight="1"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6"/>
      <c r="P568" s="6"/>
      <c r="Q568" s="6"/>
      <c r="R568" s="6"/>
      <c r="S568" s="32"/>
      <c r="T568" s="32"/>
      <c r="U568" s="6"/>
      <c r="W568" s="32"/>
      <c r="X568" s="32"/>
      <c r="Y568" s="32"/>
      <c r="Z568" s="32"/>
      <c r="AA568" s="32"/>
      <c r="AB568" s="32"/>
      <c r="AC568" s="32"/>
      <c r="AD568" s="32"/>
      <c r="AE568" s="32"/>
    </row>
    <row r="569" ht="15.75" customHeight="1"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6"/>
      <c r="P569" s="6"/>
      <c r="Q569" s="6"/>
      <c r="R569" s="6"/>
      <c r="S569" s="32"/>
      <c r="T569" s="32"/>
      <c r="U569" s="6"/>
      <c r="W569" s="32"/>
      <c r="X569" s="32"/>
      <c r="Y569" s="32"/>
      <c r="Z569" s="32"/>
      <c r="AA569" s="32"/>
      <c r="AB569" s="32"/>
      <c r="AC569" s="32"/>
      <c r="AD569" s="32"/>
      <c r="AE569" s="32"/>
    </row>
    <row r="570" ht="15.75" customHeight="1"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6"/>
      <c r="P570" s="6"/>
      <c r="Q570" s="6"/>
      <c r="R570" s="6"/>
      <c r="S570" s="32"/>
      <c r="T570" s="32"/>
      <c r="U570" s="6"/>
      <c r="W570" s="32"/>
      <c r="X570" s="32"/>
      <c r="Y570" s="32"/>
      <c r="Z570" s="32"/>
      <c r="AA570" s="32"/>
      <c r="AB570" s="32"/>
      <c r="AC570" s="32"/>
      <c r="AD570" s="32"/>
      <c r="AE570" s="32"/>
    </row>
    <row r="571" ht="15.75" customHeight="1"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6"/>
      <c r="P571" s="6"/>
      <c r="Q571" s="6"/>
      <c r="R571" s="6"/>
      <c r="S571" s="32"/>
      <c r="T571" s="32"/>
      <c r="U571" s="6"/>
      <c r="W571" s="32"/>
      <c r="X571" s="32"/>
      <c r="Y571" s="32"/>
      <c r="Z571" s="32"/>
      <c r="AA571" s="32"/>
      <c r="AB571" s="32"/>
      <c r="AC571" s="32"/>
      <c r="AD571" s="32"/>
      <c r="AE571" s="32"/>
    </row>
    <row r="572" ht="15.75" customHeight="1"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6"/>
      <c r="P572" s="6"/>
      <c r="Q572" s="6"/>
      <c r="R572" s="6"/>
      <c r="S572" s="32"/>
      <c r="T572" s="32"/>
      <c r="U572" s="6"/>
      <c r="W572" s="32"/>
      <c r="X572" s="32"/>
      <c r="Y572" s="32"/>
      <c r="Z572" s="32"/>
      <c r="AA572" s="32"/>
      <c r="AB572" s="32"/>
      <c r="AC572" s="32"/>
      <c r="AD572" s="32"/>
      <c r="AE572" s="32"/>
    </row>
    <row r="573" ht="15.75" customHeight="1"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6"/>
      <c r="P573" s="6"/>
      <c r="Q573" s="6"/>
      <c r="R573" s="6"/>
      <c r="S573" s="32"/>
      <c r="T573" s="32"/>
      <c r="U573" s="6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ht="15.75" customHeight="1"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6"/>
      <c r="P574" s="6"/>
      <c r="Q574" s="6"/>
      <c r="R574" s="6"/>
      <c r="S574" s="32"/>
      <c r="T574" s="32"/>
      <c r="U574" s="6"/>
      <c r="W574" s="32"/>
      <c r="X574" s="32"/>
      <c r="Y574" s="32"/>
      <c r="Z574" s="32"/>
      <c r="AA574" s="32"/>
      <c r="AB574" s="32"/>
      <c r="AC574" s="32"/>
      <c r="AD574" s="32"/>
      <c r="AE574" s="32"/>
    </row>
    <row r="575" ht="15.75" customHeight="1"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6"/>
      <c r="P575" s="6"/>
      <c r="Q575" s="6"/>
      <c r="R575" s="6"/>
      <c r="S575" s="32"/>
      <c r="T575" s="32"/>
      <c r="U575" s="6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ht="15.75" customHeight="1"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6"/>
      <c r="P576" s="6"/>
      <c r="Q576" s="6"/>
      <c r="R576" s="6"/>
      <c r="S576" s="32"/>
      <c r="T576" s="32"/>
      <c r="U576" s="6"/>
      <c r="W576" s="32"/>
      <c r="X576" s="32"/>
      <c r="Y576" s="32"/>
      <c r="Z576" s="32"/>
      <c r="AA576" s="32"/>
      <c r="AB576" s="32"/>
      <c r="AC576" s="32"/>
      <c r="AD576" s="32"/>
      <c r="AE576" s="32"/>
    </row>
    <row r="577" ht="15.75" customHeight="1"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6"/>
      <c r="P577" s="6"/>
      <c r="Q577" s="6"/>
      <c r="R577" s="6"/>
      <c r="S577" s="32"/>
      <c r="T577" s="32"/>
      <c r="U577" s="6"/>
      <c r="W577" s="32"/>
      <c r="X577" s="32"/>
      <c r="Y577" s="32"/>
      <c r="Z577" s="32"/>
      <c r="AA577" s="32"/>
      <c r="AB577" s="32"/>
      <c r="AC577" s="32"/>
      <c r="AD577" s="32"/>
      <c r="AE577" s="32"/>
    </row>
    <row r="578" ht="15.75" customHeight="1"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6"/>
      <c r="P578" s="6"/>
      <c r="Q578" s="6"/>
      <c r="R578" s="6"/>
      <c r="S578" s="32"/>
      <c r="T578" s="32"/>
      <c r="U578" s="6"/>
      <c r="W578" s="32"/>
      <c r="X578" s="32"/>
      <c r="Y578" s="32"/>
      <c r="Z578" s="32"/>
      <c r="AA578" s="32"/>
      <c r="AB578" s="32"/>
      <c r="AC578" s="32"/>
      <c r="AD578" s="32"/>
      <c r="AE578" s="32"/>
    </row>
    <row r="579" ht="15.75" customHeight="1"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6"/>
      <c r="P579" s="6"/>
      <c r="Q579" s="6"/>
      <c r="R579" s="6"/>
      <c r="S579" s="32"/>
      <c r="T579" s="32"/>
      <c r="U579" s="6"/>
      <c r="W579" s="32"/>
      <c r="X579" s="32"/>
      <c r="Y579" s="32"/>
      <c r="Z579" s="32"/>
      <c r="AA579" s="32"/>
      <c r="AB579" s="32"/>
      <c r="AC579" s="32"/>
      <c r="AD579" s="32"/>
      <c r="AE579" s="32"/>
    </row>
    <row r="580" ht="15.75" customHeight="1"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6"/>
      <c r="P580" s="6"/>
      <c r="Q580" s="6"/>
      <c r="R580" s="6"/>
      <c r="S580" s="32"/>
      <c r="T580" s="32"/>
      <c r="U580" s="6"/>
      <c r="W580" s="32"/>
      <c r="X580" s="32"/>
      <c r="Y580" s="32"/>
      <c r="Z580" s="32"/>
      <c r="AA580" s="32"/>
      <c r="AB580" s="32"/>
      <c r="AC580" s="32"/>
      <c r="AD580" s="32"/>
      <c r="AE580" s="32"/>
    </row>
    <row r="581" ht="15.75" customHeight="1"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6"/>
      <c r="P581" s="6"/>
      <c r="Q581" s="6"/>
      <c r="R581" s="6"/>
      <c r="S581" s="32"/>
      <c r="T581" s="32"/>
      <c r="U581" s="6"/>
      <c r="W581" s="32"/>
      <c r="X581" s="32"/>
      <c r="Y581" s="32"/>
      <c r="Z581" s="32"/>
      <c r="AA581" s="32"/>
      <c r="AB581" s="32"/>
      <c r="AC581" s="32"/>
      <c r="AD581" s="32"/>
      <c r="AE581" s="32"/>
    </row>
    <row r="582" ht="15.75" customHeight="1"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6"/>
      <c r="P582" s="6"/>
      <c r="Q582" s="6"/>
      <c r="R582" s="6"/>
      <c r="S582" s="32"/>
      <c r="T582" s="32"/>
      <c r="U582" s="6"/>
      <c r="W582" s="32"/>
      <c r="X582" s="32"/>
      <c r="Y582" s="32"/>
      <c r="Z582" s="32"/>
      <c r="AA582" s="32"/>
      <c r="AB582" s="32"/>
      <c r="AC582" s="32"/>
      <c r="AD582" s="32"/>
      <c r="AE582" s="32"/>
    </row>
    <row r="583" ht="15.75" customHeight="1"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6"/>
      <c r="P583" s="6"/>
      <c r="Q583" s="6"/>
      <c r="R583" s="6"/>
      <c r="S583" s="32"/>
      <c r="T583" s="32"/>
      <c r="U583" s="6"/>
      <c r="W583" s="32"/>
      <c r="X583" s="32"/>
      <c r="Y583" s="32"/>
      <c r="Z583" s="32"/>
      <c r="AA583" s="32"/>
      <c r="AB583" s="32"/>
      <c r="AC583" s="32"/>
      <c r="AD583" s="32"/>
      <c r="AE583" s="32"/>
    </row>
    <row r="584" ht="15.75" customHeight="1"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6"/>
      <c r="P584" s="6"/>
      <c r="Q584" s="6"/>
      <c r="R584" s="6"/>
      <c r="S584" s="32"/>
      <c r="T584" s="32"/>
      <c r="U584" s="6"/>
      <c r="W584" s="32"/>
      <c r="X584" s="32"/>
      <c r="Y584" s="32"/>
      <c r="Z584" s="32"/>
      <c r="AA584" s="32"/>
      <c r="AB584" s="32"/>
      <c r="AC584" s="32"/>
      <c r="AD584" s="32"/>
      <c r="AE584" s="32"/>
    </row>
    <row r="585" ht="15.75" customHeight="1"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6"/>
      <c r="P585" s="6"/>
      <c r="Q585" s="6"/>
      <c r="R585" s="6"/>
      <c r="S585" s="32"/>
      <c r="T585" s="32"/>
      <c r="U585" s="6"/>
      <c r="W585" s="32"/>
      <c r="X585" s="32"/>
      <c r="Y585" s="32"/>
      <c r="Z585" s="32"/>
      <c r="AA585" s="32"/>
      <c r="AB585" s="32"/>
      <c r="AC585" s="32"/>
      <c r="AD585" s="32"/>
      <c r="AE585" s="32"/>
    </row>
    <row r="586" ht="15.75" customHeight="1"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6"/>
      <c r="P586" s="6"/>
      <c r="Q586" s="6"/>
      <c r="R586" s="6"/>
      <c r="S586" s="32"/>
      <c r="T586" s="32"/>
      <c r="U586" s="6"/>
      <c r="W586" s="32"/>
      <c r="X586" s="32"/>
      <c r="Y586" s="32"/>
      <c r="Z586" s="32"/>
      <c r="AA586" s="32"/>
      <c r="AB586" s="32"/>
      <c r="AC586" s="32"/>
      <c r="AD586" s="32"/>
      <c r="AE586" s="32"/>
    </row>
    <row r="587" ht="15.75" customHeight="1"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6"/>
      <c r="P587" s="6"/>
      <c r="Q587" s="6"/>
      <c r="R587" s="6"/>
      <c r="S587" s="32"/>
      <c r="T587" s="32"/>
      <c r="U587" s="6"/>
      <c r="W587" s="32"/>
      <c r="X587" s="32"/>
      <c r="Y587" s="32"/>
      <c r="Z587" s="32"/>
      <c r="AA587" s="32"/>
      <c r="AB587" s="32"/>
      <c r="AC587" s="32"/>
      <c r="AD587" s="32"/>
      <c r="AE587" s="32"/>
    </row>
    <row r="588" ht="15.75" customHeight="1"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6"/>
      <c r="P588" s="6"/>
      <c r="Q588" s="6"/>
      <c r="R588" s="6"/>
      <c r="S588" s="32"/>
      <c r="T588" s="32"/>
      <c r="U588" s="6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ht="15.75" customHeight="1"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6"/>
      <c r="P589" s="6"/>
      <c r="Q589" s="6"/>
      <c r="R589" s="6"/>
      <c r="S589" s="32"/>
      <c r="T589" s="32"/>
      <c r="U589" s="6"/>
      <c r="W589" s="32"/>
      <c r="X589" s="32"/>
      <c r="Y589" s="32"/>
      <c r="Z589" s="32"/>
      <c r="AA589" s="32"/>
      <c r="AB589" s="32"/>
      <c r="AC589" s="32"/>
      <c r="AD589" s="32"/>
      <c r="AE589" s="32"/>
    </row>
    <row r="590" ht="15.75" customHeight="1"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6"/>
      <c r="P590" s="6"/>
      <c r="Q590" s="6"/>
      <c r="R590" s="6"/>
      <c r="S590" s="32"/>
      <c r="T590" s="32"/>
      <c r="U590" s="6"/>
      <c r="W590" s="32"/>
      <c r="X590" s="32"/>
      <c r="Y590" s="32"/>
      <c r="Z590" s="32"/>
      <c r="AA590" s="32"/>
      <c r="AB590" s="32"/>
      <c r="AC590" s="32"/>
      <c r="AD590" s="32"/>
      <c r="AE590" s="32"/>
    </row>
    <row r="591" ht="15.75" customHeight="1"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6"/>
      <c r="P591" s="6"/>
      <c r="Q591" s="6"/>
      <c r="R591" s="6"/>
      <c r="S591" s="32"/>
      <c r="T591" s="32"/>
      <c r="U591" s="6"/>
      <c r="W591" s="32"/>
      <c r="X591" s="32"/>
      <c r="Y591" s="32"/>
      <c r="Z591" s="32"/>
      <c r="AA591" s="32"/>
      <c r="AB591" s="32"/>
      <c r="AC591" s="32"/>
      <c r="AD591" s="32"/>
      <c r="AE591" s="32"/>
    </row>
    <row r="592" ht="15.75" customHeight="1"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6"/>
      <c r="P592" s="6"/>
      <c r="Q592" s="6"/>
      <c r="R592" s="6"/>
      <c r="S592" s="32"/>
      <c r="T592" s="32"/>
      <c r="U592" s="6"/>
      <c r="W592" s="32"/>
      <c r="X592" s="32"/>
      <c r="Y592" s="32"/>
      <c r="Z592" s="32"/>
      <c r="AA592" s="32"/>
      <c r="AB592" s="32"/>
      <c r="AC592" s="32"/>
      <c r="AD592" s="32"/>
      <c r="AE592" s="32"/>
    </row>
    <row r="593" ht="15.75" customHeight="1"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6"/>
      <c r="P593" s="6"/>
      <c r="Q593" s="6"/>
      <c r="R593" s="6"/>
      <c r="S593" s="32"/>
      <c r="T593" s="32"/>
      <c r="U593" s="6"/>
      <c r="W593" s="32"/>
      <c r="X593" s="32"/>
      <c r="Y593" s="32"/>
      <c r="Z593" s="32"/>
      <c r="AA593" s="32"/>
      <c r="AB593" s="32"/>
      <c r="AC593" s="32"/>
      <c r="AD593" s="32"/>
      <c r="AE593" s="32"/>
    </row>
    <row r="594" ht="15.75" customHeight="1"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6"/>
      <c r="P594" s="6"/>
      <c r="Q594" s="6"/>
      <c r="R594" s="6"/>
      <c r="S594" s="32"/>
      <c r="T594" s="32"/>
      <c r="U594" s="6"/>
      <c r="W594" s="32"/>
      <c r="X594" s="32"/>
      <c r="Y594" s="32"/>
      <c r="Z594" s="32"/>
      <c r="AA594" s="32"/>
      <c r="AB594" s="32"/>
      <c r="AC594" s="32"/>
      <c r="AD594" s="32"/>
      <c r="AE594" s="32"/>
    </row>
    <row r="595" ht="15.75" customHeight="1"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6"/>
      <c r="P595" s="6"/>
      <c r="Q595" s="6"/>
      <c r="R595" s="6"/>
      <c r="S595" s="32"/>
      <c r="T595" s="32"/>
      <c r="U595" s="6"/>
      <c r="W595" s="32"/>
      <c r="X595" s="32"/>
      <c r="Y595" s="32"/>
      <c r="Z595" s="32"/>
      <c r="AA595" s="32"/>
      <c r="AB595" s="32"/>
      <c r="AC595" s="32"/>
      <c r="AD595" s="32"/>
      <c r="AE595" s="32"/>
    </row>
    <row r="596" ht="15.75" customHeight="1"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6"/>
      <c r="P596" s="6"/>
      <c r="Q596" s="6"/>
      <c r="R596" s="6"/>
      <c r="S596" s="32"/>
      <c r="T596" s="32"/>
      <c r="U596" s="6"/>
      <c r="W596" s="32"/>
      <c r="X596" s="32"/>
      <c r="Y596" s="32"/>
      <c r="Z596" s="32"/>
      <c r="AA596" s="32"/>
      <c r="AB596" s="32"/>
      <c r="AC596" s="32"/>
      <c r="AD596" s="32"/>
      <c r="AE596" s="32"/>
    </row>
    <row r="597" ht="15.75" customHeight="1"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6"/>
      <c r="P597" s="6"/>
      <c r="Q597" s="6"/>
      <c r="R597" s="6"/>
      <c r="S597" s="32"/>
      <c r="T597" s="32"/>
      <c r="U597" s="6"/>
      <c r="W597" s="32"/>
      <c r="X597" s="32"/>
      <c r="Y597" s="32"/>
      <c r="Z597" s="32"/>
      <c r="AA597" s="32"/>
      <c r="AB597" s="32"/>
      <c r="AC597" s="32"/>
      <c r="AD597" s="32"/>
      <c r="AE597" s="32"/>
    </row>
    <row r="598" ht="15.75" customHeight="1"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6"/>
      <c r="P598" s="6"/>
      <c r="Q598" s="6"/>
      <c r="R598" s="6"/>
      <c r="S598" s="32"/>
      <c r="T598" s="32"/>
      <c r="U598" s="6"/>
      <c r="W598" s="32"/>
      <c r="X598" s="32"/>
      <c r="Y598" s="32"/>
      <c r="Z598" s="32"/>
      <c r="AA598" s="32"/>
      <c r="AB598" s="32"/>
      <c r="AC598" s="32"/>
      <c r="AD598" s="32"/>
      <c r="AE598" s="32"/>
    </row>
    <row r="599" ht="15.75" customHeight="1"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6"/>
      <c r="P599" s="6"/>
      <c r="Q599" s="6"/>
      <c r="R599" s="6"/>
      <c r="S599" s="32"/>
      <c r="T599" s="32"/>
      <c r="U599" s="6"/>
      <c r="W599" s="32"/>
      <c r="X599" s="32"/>
      <c r="Y599" s="32"/>
      <c r="Z599" s="32"/>
      <c r="AA599" s="32"/>
      <c r="AB599" s="32"/>
      <c r="AC599" s="32"/>
      <c r="AD599" s="32"/>
      <c r="AE599" s="32"/>
    </row>
    <row r="600" ht="15.75" customHeight="1"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6"/>
      <c r="P600" s="6"/>
      <c r="Q600" s="6"/>
      <c r="R600" s="6"/>
      <c r="S600" s="32"/>
      <c r="T600" s="32"/>
      <c r="U600" s="6"/>
      <c r="W600" s="32"/>
      <c r="X600" s="32"/>
      <c r="Y600" s="32"/>
      <c r="Z600" s="32"/>
      <c r="AA600" s="32"/>
      <c r="AB600" s="32"/>
      <c r="AC600" s="32"/>
      <c r="AD600" s="32"/>
      <c r="AE600" s="32"/>
    </row>
    <row r="601" ht="15.75" customHeight="1"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6"/>
      <c r="P601" s="6"/>
      <c r="Q601" s="6"/>
      <c r="R601" s="6"/>
      <c r="S601" s="32"/>
      <c r="T601" s="32"/>
      <c r="U601" s="6"/>
      <c r="W601" s="32"/>
      <c r="X601" s="32"/>
      <c r="Y601" s="32"/>
      <c r="Z601" s="32"/>
      <c r="AA601" s="32"/>
      <c r="AB601" s="32"/>
      <c r="AC601" s="32"/>
      <c r="AD601" s="32"/>
      <c r="AE601" s="32"/>
    </row>
    <row r="602" ht="15.75" customHeight="1"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6"/>
      <c r="P602" s="6"/>
      <c r="Q602" s="6"/>
      <c r="R602" s="6"/>
      <c r="S602" s="32"/>
      <c r="T602" s="32"/>
      <c r="U602" s="6"/>
      <c r="W602" s="32"/>
      <c r="X602" s="32"/>
      <c r="Y602" s="32"/>
      <c r="Z602" s="32"/>
      <c r="AA602" s="32"/>
      <c r="AB602" s="32"/>
      <c r="AC602" s="32"/>
      <c r="AD602" s="32"/>
      <c r="AE602" s="32"/>
    </row>
    <row r="603" ht="15.75" customHeight="1"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6"/>
      <c r="P603" s="6"/>
      <c r="Q603" s="6"/>
      <c r="R603" s="6"/>
      <c r="S603" s="32"/>
      <c r="T603" s="32"/>
      <c r="U603" s="6"/>
      <c r="W603" s="32"/>
      <c r="X603" s="32"/>
      <c r="Y603" s="32"/>
      <c r="Z603" s="32"/>
      <c r="AA603" s="32"/>
      <c r="AB603" s="32"/>
      <c r="AC603" s="32"/>
      <c r="AD603" s="32"/>
      <c r="AE603" s="32"/>
    </row>
    <row r="604" ht="15.75" customHeight="1"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6"/>
      <c r="P604" s="6"/>
      <c r="Q604" s="6"/>
      <c r="R604" s="6"/>
      <c r="S604" s="32"/>
      <c r="T604" s="32"/>
      <c r="U604" s="6"/>
      <c r="W604" s="32"/>
      <c r="X604" s="32"/>
      <c r="Y604" s="32"/>
      <c r="Z604" s="32"/>
      <c r="AA604" s="32"/>
      <c r="AB604" s="32"/>
      <c r="AC604" s="32"/>
      <c r="AD604" s="32"/>
      <c r="AE604" s="32"/>
    </row>
    <row r="605" ht="15.75" customHeight="1"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6"/>
      <c r="P605" s="6"/>
      <c r="Q605" s="6"/>
      <c r="R605" s="6"/>
      <c r="S605" s="32"/>
      <c r="T605" s="32"/>
      <c r="U605" s="6"/>
      <c r="W605" s="32"/>
      <c r="X605" s="32"/>
      <c r="Y605" s="32"/>
      <c r="Z605" s="32"/>
      <c r="AA605" s="32"/>
      <c r="AB605" s="32"/>
      <c r="AC605" s="32"/>
      <c r="AD605" s="32"/>
      <c r="AE605" s="32"/>
    </row>
    <row r="606" ht="15.75" customHeight="1"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6"/>
      <c r="P606" s="6"/>
      <c r="Q606" s="6"/>
      <c r="R606" s="6"/>
      <c r="S606" s="32"/>
      <c r="T606" s="32"/>
      <c r="U606" s="6"/>
      <c r="W606" s="32"/>
      <c r="X606" s="32"/>
      <c r="Y606" s="32"/>
      <c r="Z606" s="32"/>
      <c r="AA606" s="32"/>
      <c r="AB606" s="32"/>
      <c r="AC606" s="32"/>
      <c r="AD606" s="32"/>
      <c r="AE606" s="32"/>
    </row>
    <row r="607" ht="15.75" customHeight="1"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6"/>
      <c r="P607" s="6"/>
      <c r="Q607" s="6"/>
      <c r="R607" s="6"/>
      <c r="S607" s="32"/>
      <c r="T607" s="32"/>
      <c r="U607" s="6"/>
      <c r="W607" s="32"/>
      <c r="X607" s="32"/>
      <c r="Y607" s="32"/>
      <c r="Z607" s="32"/>
      <c r="AA607" s="32"/>
      <c r="AB607" s="32"/>
      <c r="AC607" s="32"/>
      <c r="AD607" s="32"/>
      <c r="AE607" s="32"/>
    </row>
    <row r="608" ht="15.75" customHeight="1"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6"/>
      <c r="P608" s="6"/>
      <c r="Q608" s="6"/>
      <c r="R608" s="6"/>
      <c r="S608" s="32"/>
      <c r="T608" s="32"/>
      <c r="U608" s="6"/>
      <c r="W608" s="32"/>
      <c r="X608" s="32"/>
      <c r="Y608" s="32"/>
      <c r="Z608" s="32"/>
      <c r="AA608" s="32"/>
      <c r="AB608" s="32"/>
      <c r="AC608" s="32"/>
      <c r="AD608" s="32"/>
      <c r="AE608" s="32"/>
    </row>
    <row r="609" ht="15.75" customHeight="1"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6"/>
      <c r="P609" s="6"/>
      <c r="Q609" s="6"/>
      <c r="R609" s="6"/>
      <c r="S609" s="32"/>
      <c r="T609" s="32"/>
      <c r="U609" s="6"/>
      <c r="W609" s="32"/>
      <c r="X609" s="32"/>
      <c r="Y609" s="32"/>
      <c r="Z609" s="32"/>
      <c r="AA609" s="32"/>
      <c r="AB609" s="32"/>
      <c r="AC609" s="32"/>
      <c r="AD609" s="32"/>
      <c r="AE609" s="32"/>
    </row>
    <row r="610" ht="15.75" customHeight="1"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6"/>
      <c r="P610" s="6"/>
      <c r="Q610" s="6"/>
      <c r="R610" s="6"/>
      <c r="S610" s="32"/>
      <c r="T610" s="32"/>
      <c r="U610" s="6"/>
      <c r="W610" s="32"/>
      <c r="X610" s="32"/>
      <c r="Y610" s="32"/>
      <c r="Z610" s="32"/>
      <c r="AA610" s="32"/>
      <c r="AB610" s="32"/>
      <c r="AC610" s="32"/>
      <c r="AD610" s="32"/>
      <c r="AE610" s="32"/>
    </row>
    <row r="611" ht="15.75" customHeight="1"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6"/>
      <c r="P611" s="6"/>
      <c r="Q611" s="6"/>
      <c r="R611" s="6"/>
      <c r="S611" s="32"/>
      <c r="T611" s="32"/>
      <c r="U611" s="6"/>
      <c r="W611" s="32"/>
      <c r="X611" s="32"/>
      <c r="Y611" s="32"/>
      <c r="Z611" s="32"/>
      <c r="AA611" s="32"/>
      <c r="AB611" s="32"/>
      <c r="AC611" s="32"/>
      <c r="AD611" s="32"/>
      <c r="AE611" s="32"/>
    </row>
    <row r="612" ht="15.75" customHeight="1"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6"/>
      <c r="P612" s="6"/>
      <c r="Q612" s="6"/>
      <c r="R612" s="6"/>
      <c r="S612" s="32"/>
      <c r="T612" s="32"/>
      <c r="U612" s="6"/>
      <c r="W612" s="32"/>
      <c r="X612" s="32"/>
      <c r="Y612" s="32"/>
      <c r="Z612" s="32"/>
      <c r="AA612" s="32"/>
      <c r="AB612" s="32"/>
      <c r="AC612" s="32"/>
      <c r="AD612" s="32"/>
      <c r="AE612" s="32"/>
    </row>
    <row r="613" ht="15.75" customHeight="1"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6"/>
      <c r="P613" s="6"/>
      <c r="Q613" s="6"/>
      <c r="R613" s="6"/>
      <c r="S613" s="32"/>
      <c r="T613" s="32"/>
      <c r="U613" s="6"/>
      <c r="W613" s="32"/>
      <c r="X613" s="32"/>
      <c r="Y613" s="32"/>
      <c r="Z613" s="32"/>
      <c r="AA613" s="32"/>
      <c r="AB613" s="32"/>
      <c r="AC613" s="32"/>
      <c r="AD613" s="32"/>
      <c r="AE613" s="32"/>
    </row>
    <row r="614" ht="15.75" customHeight="1"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6"/>
      <c r="P614" s="6"/>
      <c r="Q614" s="6"/>
      <c r="R614" s="6"/>
      <c r="S614" s="32"/>
      <c r="T614" s="32"/>
      <c r="U614" s="6"/>
      <c r="W614" s="32"/>
      <c r="X614" s="32"/>
      <c r="Y614" s="32"/>
      <c r="Z614" s="32"/>
      <c r="AA614" s="32"/>
      <c r="AB614" s="32"/>
      <c r="AC614" s="32"/>
      <c r="AD614" s="32"/>
      <c r="AE614" s="32"/>
    </row>
    <row r="615" ht="15.75" customHeight="1"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6"/>
      <c r="P615" s="6"/>
      <c r="Q615" s="6"/>
      <c r="R615" s="6"/>
      <c r="S615" s="32"/>
      <c r="T615" s="32"/>
      <c r="U615" s="6"/>
      <c r="W615" s="32"/>
      <c r="X615" s="32"/>
      <c r="Y615" s="32"/>
      <c r="Z615" s="32"/>
      <c r="AA615" s="32"/>
      <c r="AB615" s="32"/>
      <c r="AC615" s="32"/>
      <c r="AD615" s="32"/>
      <c r="AE615" s="32"/>
    </row>
    <row r="616" ht="15.75" customHeight="1"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6"/>
      <c r="P616" s="6"/>
      <c r="Q616" s="6"/>
      <c r="R616" s="6"/>
      <c r="S616" s="32"/>
      <c r="T616" s="32"/>
      <c r="U616" s="6"/>
      <c r="W616" s="32"/>
      <c r="X616" s="32"/>
      <c r="Y616" s="32"/>
      <c r="Z616" s="32"/>
      <c r="AA616" s="32"/>
      <c r="AB616" s="32"/>
      <c r="AC616" s="32"/>
      <c r="AD616" s="32"/>
      <c r="AE616" s="32"/>
    </row>
    <row r="617" ht="15.75" customHeight="1"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6"/>
      <c r="P617" s="6"/>
      <c r="Q617" s="6"/>
      <c r="R617" s="6"/>
      <c r="S617" s="32"/>
      <c r="T617" s="32"/>
      <c r="U617" s="6"/>
      <c r="W617" s="32"/>
      <c r="X617" s="32"/>
      <c r="Y617" s="32"/>
      <c r="Z617" s="32"/>
      <c r="AA617" s="32"/>
      <c r="AB617" s="32"/>
      <c r="AC617" s="32"/>
      <c r="AD617" s="32"/>
      <c r="AE617" s="32"/>
    </row>
    <row r="618" ht="15.75" customHeight="1"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6"/>
      <c r="P618" s="6"/>
      <c r="Q618" s="6"/>
      <c r="R618" s="6"/>
      <c r="S618" s="32"/>
      <c r="T618" s="32"/>
      <c r="U618" s="6"/>
      <c r="W618" s="32"/>
      <c r="X618" s="32"/>
      <c r="Y618" s="32"/>
      <c r="Z618" s="32"/>
      <c r="AA618" s="32"/>
      <c r="AB618" s="32"/>
      <c r="AC618" s="32"/>
      <c r="AD618" s="32"/>
      <c r="AE618" s="32"/>
    </row>
    <row r="619" ht="15.75" customHeight="1"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6"/>
      <c r="P619" s="6"/>
      <c r="Q619" s="6"/>
      <c r="R619" s="6"/>
      <c r="S619" s="32"/>
      <c r="T619" s="32"/>
      <c r="U619" s="6"/>
      <c r="W619" s="32"/>
      <c r="X619" s="32"/>
      <c r="Y619" s="32"/>
      <c r="Z619" s="32"/>
      <c r="AA619" s="32"/>
      <c r="AB619" s="32"/>
      <c r="AC619" s="32"/>
      <c r="AD619" s="32"/>
      <c r="AE619" s="32"/>
    </row>
    <row r="620" ht="15.75" customHeight="1"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6"/>
      <c r="P620" s="6"/>
      <c r="Q620" s="6"/>
      <c r="R620" s="6"/>
      <c r="S620" s="32"/>
      <c r="T620" s="32"/>
      <c r="U620" s="6"/>
      <c r="W620" s="32"/>
      <c r="X620" s="32"/>
      <c r="Y620" s="32"/>
      <c r="Z620" s="32"/>
      <c r="AA620" s="32"/>
      <c r="AB620" s="32"/>
      <c r="AC620" s="32"/>
      <c r="AD620" s="32"/>
      <c r="AE620" s="32"/>
    </row>
    <row r="621" ht="15.75" customHeight="1"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6"/>
      <c r="P621" s="6"/>
      <c r="Q621" s="6"/>
      <c r="R621" s="6"/>
      <c r="S621" s="32"/>
      <c r="T621" s="32"/>
      <c r="U621" s="6"/>
      <c r="W621" s="32"/>
      <c r="X621" s="32"/>
      <c r="Y621" s="32"/>
      <c r="Z621" s="32"/>
      <c r="AA621" s="32"/>
      <c r="AB621" s="32"/>
      <c r="AC621" s="32"/>
      <c r="AD621" s="32"/>
      <c r="AE621" s="32"/>
    </row>
    <row r="622" ht="15.75" customHeight="1"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6"/>
      <c r="P622" s="6"/>
      <c r="Q622" s="6"/>
      <c r="R622" s="6"/>
      <c r="S622" s="32"/>
      <c r="T622" s="32"/>
      <c r="U622" s="6"/>
      <c r="W622" s="32"/>
      <c r="X622" s="32"/>
      <c r="Y622" s="32"/>
      <c r="Z622" s="32"/>
      <c r="AA622" s="32"/>
      <c r="AB622" s="32"/>
      <c r="AC622" s="32"/>
      <c r="AD622" s="32"/>
      <c r="AE622" s="32"/>
    </row>
    <row r="623" ht="15.75" customHeight="1"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6"/>
      <c r="P623" s="6"/>
      <c r="Q623" s="6"/>
      <c r="R623" s="6"/>
      <c r="S623" s="32"/>
      <c r="T623" s="32"/>
      <c r="U623" s="6"/>
      <c r="W623" s="32"/>
      <c r="X623" s="32"/>
      <c r="Y623" s="32"/>
      <c r="Z623" s="32"/>
      <c r="AA623" s="32"/>
      <c r="AB623" s="32"/>
      <c r="AC623" s="32"/>
      <c r="AD623" s="32"/>
      <c r="AE623" s="32"/>
    </row>
    <row r="624" ht="15.75" customHeight="1"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6"/>
      <c r="P624" s="6"/>
      <c r="Q624" s="6"/>
      <c r="R624" s="6"/>
      <c r="S624" s="32"/>
      <c r="T624" s="32"/>
      <c r="U624" s="6"/>
      <c r="W624" s="32"/>
      <c r="X624" s="32"/>
      <c r="Y624" s="32"/>
      <c r="Z624" s="32"/>
      <c r="AA624" s="32"/>
      <c r="AB624" s="32"/>
      <c r="AC624" s="32"/>
      <c r="AD624" s="32"/>
      <c r="AE624" s="32"/>
    </row>
    <row r="625" ht="15.75" customHeight="1"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6"/>
      <c r="P625" s="6"/>
      <c r="Q625" s="6"/>
      <c r="R625" s="6"/>
      <c r="S625" s="32"/>
      <c r="T625" s="32"/>
      <c r="U625" s="6"/>
      <c r="W625" s="32"/>
      <c r="X625" s="32"/>
      <c r="Y625" s="32"/>
      <c r="Z625" s="32"/>
      <c r="AA625" s="32"/>
      <c r="AB625" s="32"/>
      <c r="AC625" s="32"/>
      <c r="AD625" s="32"/>
      <c r="AE625" s="32"/>
    </row>
    <row r="626" ht="15.75" customHeight="1"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6"/>
      <c r="P626" s="6"/>
      <c r="Q626" s="6"/>
      <c r="R626" s="6"/>
      <c r="S626" s="32"/>
      <c r="T626" s="32"/>
      <c r="U626" s="6"/>
      <c r="W626" s="32"/>
      <c r="X626" s="32"/>
      <c r="Y626" s="32"/>
      <c r="Z626" s="32"/>
      <c r="AA626" s="32"/>
      <c r="AB626" s="32"/>
      <c r="AC626" s="32"/>
      <c r="AD626" s="32"/>
      <c r="AE626" s="32"/>
    </row>
    <row r="627" ht="15.75" customHeight="1"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6"/>
      <c r="P627" s="6"/>
      <c r="Q627" s="6"/>
      <c r="R627" s="6"/>
      <c r="S627" s="32"/>
      <c r="T627" s="32"/>
      <c r="U627" s="6"/>
      <c r="W627" s="32"/>
      <c r="X627" s="32"/>
      <c r="Y627" s="32"/>
      <c r="Z627" s="32"/>
      <c r="AA627" s="32"/>
      <c r="AB627" s="32"/>
      <c r="AC627" s="32"/>
      <c r="AD627" s="32"/>
      <c r="AE627" s="32"/>
    </row>
    <row r="628" ht="15.75" customHeight="1"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6"/>
      <c r="P628" s="6"/>
      <c r="Q628" s="6"/>
      <c r="R628" s="6"/>
      <c r="S628" s="32"/>
      <c r="T628" s="32"/>
      <c r="U628" s="6"/>
      <c r="W628" s="32"/>
      <c r="X628" s="32"/>
      <c r="Y628" s="32"/>
      <c r="Z628" s="32"/>
      <c r="AA628" s="32"/>
      <c r="AB628" s="32"/>
      <c r="AC628" s="32"/>
      <c r="AD628" s="32"/>
      <c r="AE628" s="32"/>
    </row>
    <row r="629" ht="15.75" customHeight="1"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6"/>
      <c r="P629" s="6"/>
      <c r="Q629" s="6"/>
      <c r="R629" s="6"/>
      <c r="S629" s="32"/>
      <c r="T629" s="32"/>
      <c r="U629" s="6"/>
      <c r="W629" s="32"/>
      <c r="X629" s="32"/>
      <c r="Y629" s="32"/>
      <c r="Z629" s="32"/>
      <c r="AA629" s="32"/>
      <c r="AB629" s="32"/>
      <c r="AC629" s="32"/>
      <c r="AD629" s="32"/>
      <c r="AE629" s="32"/>
    </row>
    <row r="630" ht="15.75" customHeight="1"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6"/>
      <c r="P630" s="6"/>
      <c r="Q630" s="6"/>
      <c r="R630" s="6"/>
      <c r="S630" s="32"/>
      <c r="T630" s="32"/>
      <c r="U630" s="6"/>
      <c r="W630" s="32"/>
      <c r="X630" s="32"/>
      <c r="Y630" s="32"/>
      <c r="Z630" s="32"/>
      <c r="AA630" s="32"/>
      <c r="AB630" s="32"/>
      <c r="AC630" s="32"/>
      <c r="AD630" s="32"/>
      <c r="AE630" s="32"/>
    </row>
    <row r="631" ht="15.75" customHeight="1"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6"/>
      <c r="P631" s="6"/>
      <c r="Q631" s="6"/>
      <c r="R631" s="6"/>
      <c r="S631" s="32"/>
      <c r="T631" s="32"/>
      <c r="U631" s="6"/>
      <c r="W631" s="32"/>
      <c r="X631" s="32"/>
      <c r="Y631" s="32"/>
      <c r="Z631" s="32"/>
      <c r="AA631" s="32"/>
      <c r="AB631" s="32"/>
      <c r="AC631" s="32"/>
      <c r="AD631" s="32"/>
      <c r="AE631" s="32"/>
    </row>
    <row r="632" ht="15.75" customHeight="1"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6"/>
      <c r="P632" s="6"/>
      <c r="Q632" s="6"/>
      <c r="R632" s="6"/>
      <c r="S632" s="32"/>
      <c r="T632" s="32"/>
      <c r="U632" s="6"/>
      <c r="W632" s="32"/>
      <c r="X632" s="32"/>
      <c r="Y632" s="32"/>
      <c r="Z632" s="32"/>
      <c r="AA632" s="32"/>
      <c r="AB632" s="32"/>
      <c r="AC632" s="32"/>
      <c r="AD632" s="32"/>
      <c r="AE632" s="32"/>
    </row>
    <row r="633" ht="15.75" customHeight="1"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6"/>
      <c r="P633" s="6"/>
      <c r="Q633" s="6"/>
      <c r="R633" s="6"/>
      <c r="S633" s="32"/>
      <c r="T633" s="32"/>
      <c r="U633" s="6"/>
      <c r="W633" s="32"/>
      <c r="X633" s="32"/>
      <c r="Y633" s="32"/>
      <c r="Z633" s="32"/>
      <c r="AA633" s="32"/>
      <c r="AB633" s="32"/>
      <c r="AC633" s="32"/>
      <c r="AD633" s="32"/>
      <c r="AE633" s="32"/>
    </row>
    <row r="634" ht="15.75" customHeight="1"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6"/>
      <c r="P634" s="6"/>
      <c r="Q634" s="6"/>
      <c r="R634" s="6"/>
      <c r="S634" s="32"/>
      <c r="T634" s="32"/>
      <c r="U634" s="6"/>
      <c r="W634" s="32"/>
      <c r="X634" s="32"/>
      <c r="Y634" s="32"/>
      <c r="Z634" s="32"/>
      <c r="AA634" s="32"/>
      <c r="AB634" s="32"/>
      <c r="AC634" s="32"/>
      <c r="AD634" s="32"/>
      <c r="AE634" s="32"/>
    </row>
    <row r="635" ht="15.75" customHeight="1"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6"/>
      <c r="P635" s="6"/>
      <c r="Q635" s="6"/>
      <c r="R635" s="6"/>
      <c r="S635" s="32"/>
      <c r="T635" s="32"/>
      <c r="U635" s="6"/>
      <c r="W635" s="32"/>
      <c r="X635" s="32"/>
      <c r="Y635" s="32"/>
      <c r="Z635" s="32"/>
      <c r="AA635" s="32"/>
      <c r="AB635" s="32"/>
      <c r="AC635" s="32"/>
      <c r="AD635" s="32"/>
      <c r="AE635" s="32"/>
    </row>
    <row r="636" ht="15.75" customHeight="1"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6"/>
      <c r="P636" s="6"/>
      <c r="Q636" s="6"/>
      <c r="R636" s="6"/>
      <c r="S636" s="32"/>
      <c r="T636" s="32"/>
      <c r="U636" s="6"/>
      <c r="W636" s="32"/>
      <c r="X636" s="32"/>
      <c r="Y636" s="32"/>
      <c r="Z636" s="32"/>
      <c r="AA636" s="32"/>
      <c r="AB636" s="32"/>
      <c r="AC636" s="32"/>
      <c r="AD636" s="32"/>
      <c r="AE636" s="32"/>
    </row>
    <row r="637" ht="15.75" customHeight="1"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6"/>
      <c r="P637" s="6"/>
      <c r="Q637" s="6"/>
      <c r="R637" s="6"/>
      <c r="S637" s="32"/>
      <c r="T637" s="32"/>
      <c r="U637" s="6"/>
      <c r="W637" s="32"/>
      <c r="X637" s="32"/>
      <c r="Y637" s="32"/>
      <c r="Z637" s="32"/>
      <c r="AA637" s="32"/>
      <c r="AB637" s="32"/>
      <c r="AC637" s="32"/>
      <c r="AD637" s="32"/>
      <c r="AE637" s="32"/>
    </row>
    <row r="638" ht="15.75" customHeight="1"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6"/>
      <c r="P638" s="6"/>
      <c r="Q638" s="6"/>
      <c r="R638" s="6"/>
      <c r="S638" s="32"/>
      <c r="T638" s="32"/>
      <c r="U638" s="6"/>
      <c r="W638" s="32"/>
      <c r="X638" s="32"/>
      <c r="Y638" s="32"/>
      <c r="Z638" s="32"/>
      <c r="AA638" s="32"/>
      <c r="AB638" s="32"/>
      <c r="AC638" s="32"/>
      <c r="AD638" s="32"/>
      <c r="AE638" s="32"/>
    </row>
    <row r="639" ht="15.75" customHeight="1"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6"/>
      <c r="P639" s="6"/>
      <c r="Q639" s="6"/>
      <c r="R639" s="6"/>
      <c r="S639" s="32"/>
      <c r="T639" s="32"/>
      <c r="U639" s="6"/>
      <c r="W639" s="32"/>
      <c r="X639" s="32"/>
      <c r="Y639" s="32"/>
      <c r="Z639" s="32"/>
      <c r="AA639" s="32"/>
      <c r="AB639" s="32"/>
      <c r="AC639" s="32"/>
      <c r="AD639" s="32"/>
      <c r="AE639" s="32"/>
    </row>
    <row r="640" ht="15.75" customHeight="1"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6"/>
      <c r="P640" s="6"/>
      <c r="Q640" s="6"/>
      <c r="R640" s="6"/>
      <c r="S640" s="32"/>
      <c r="T640" s="32"/>
      <c r="U640" s="6"/>
      <c r="W640" s="32"/>
      <c r="X640" s="32"/>
      <c r="Y640" s="32"/>
      <c r="Z640" s="32"/>
      <c r="AA640" s="32"/>
      <c r="AB640" s="32"/>
      <c r="AC640" s="32"/>
      <c r="AD640" s="32"/>
      <c r="AE640" s="32"/>
    </row>
    <row r="641" ht="15.75" customHeight="1"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6"/>
      <c r="P641" s="6"/>
      <c r="Q641" s="6"/>
      <c r="R641" s="6"/>
      <c r="S641" s="32"/>
      <c r="T641" s="32"/>
      <c r="U641" s="6"/>
      <c r="W641" s="32"/>
      <c r="X641" s="32"/>
      <c r="Y641" s="32"/>
      <c r="Z641" s="32"/>
      <c r="AA641" s="32"/>
      <c r="AB641" s="32"/>
      <c r="AC641" s="32"/>
      <c r="AD641" s="32"/>
      <c r="AE641" s="32"/>
    </row>
    <row r="642" ht="15.75" customHeight="1"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6"/>
      <c r="P642" s="6"/>
      <c r="Q642" s="6"/>
      <c r="R642" s="6"/>
      <c r="S642" s="32"/>
      <c r="T642" s="32"/>
      <c r="U642" s="6"/>
      <c r="W642" s="32"/>
      <c r="X642" s="32"/>
      <c r="Y642" s="32"/>
      <c r="Z642" s="32"/>
      <c r="AA642" s="32"/>
      <c r="AB642" s="32"/>
      <c r="AC642" s="32"/>
      <c r="AD642" s="32"/>
      <c r="AE642" s="32"/>
    </row>
    <row r="643" ht="15.75" customHeight="1"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6"/>
      <c r="P643" s="6"/>
      <c r="Q643" s="6"/>
      <c r="R643" s="6"/>
      <c r="S643" s="32"/>
      <c r="T643" s="32"/>
      <c r="U643" s="6"/>
      <c r="W643" s="32"/>
      <c r="X643" s="32"/>
      <c r="Y643" s="32"/>
      <c r="Z643" s="32"/>
      <c r="AA643" s="32"/>
      <c r="AB643" s="32"/>
      <c r="AC643" s="32"/>
      <c r="AD643" s="32"/>
      <c r="AE643" s="32"/>
    </row>
    <row r="644" ht="15.75" customHeight="1"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6"/>
      <c r="P644" s="6"/>
      <c r="Q644" s="6"/>
      <c r="R644" s="6"/>
      <c r="S644" s="32"/>
      <c r="T644" s="32"/>
      <c r="U644" s="6"/>
      <c r="W644" s="32"/>
      <c r="X644" s="32"/>
      <c r="Y644" s="32"/>
      <c r="Z644" s="32"/>
      <c r="AA644" s="32"/>
      <c r="AB644" s="32"/>
      <c r="AC644" s="32"/>
      <c r="AD644" s="32"/>
      <c r="AE644" s="32"/>
    </row>
    <row r="645" ht="15.75" customHeight="1"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6"/>
      <c r="P645" s="6"/>
      <c r="Q645" s="6"/>
      <c r="R645" s="6"/>
      <c r="S645" s="32"/>
      <c r="T645" s="32"/>
      <c r="U645" s="6"/>
      <c r="W645" s="32"/>
      <c r="X645" s="32"/>
      <c r="Y645" s="32"/>
      <c r="Z645" s="32"/>
      <c r="AA645" s="32"/>
      <c r="AB645" s="32"/>
      <c r="AC645" s="32"/>
      <c r="AD645" s="32"/>
      <c r="AE645" s="32"/>
    </row>
    <row r="646" ht="15.75" customHeight="1"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6"/>
      <c r="P646" s="6"/>
      <c r="Q646" s="6"/>
      <c r="R646" s="6"/>
      <c r="S646" s="32"/>
      <c r="T646" s="32"/>
      <c r="U646" s="6"/>
      <c r="W646" s="32"/>
      <c r="X646" s="32"/>
      <c r="Y646" s="32"/>
      <c r="Z646" s="32"/>
      <c r="AA646" s="32"/>
      <c r="AB646" s="32"/>
      <c r="AC646" s="32"/>
      <c r="AD646" s="32"/>
      <c r="AE646" s="32"/>
    </row>
    <row r="647" ht="15.75" customHeight="1"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6"/>
      <c r="P647" s="6"/>
      <c r="Q647" s="6"/>
      <c r="R647" s="6"/>
      <c r="S647" s="32"/>
      <c r="T647" s="32"/>
      <c r="U647" s="6"/>
      <c r="W647" s="32"/>
      <c r="X647" s="32"/>
      <c r="Y647" s="32"/>
      <c r="Z647" s="32"/>
      <c r="AA647" s="32"/>
      <c r="AB647" s="32"/>
      <c r="AC647" s="32"/>
      <c r="AD647" s="32"/>
      <c r="AE647" s="32"/>
    </row>
    <row r="648" ht="15.75" customHeight="1"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6"/>
      <c r="P648" s="6"/>
      <c r="Q648" s="6"/>
      <c r="R648" s="6"/>
      <c r="S648" s="32"/>
      <c r="T648" s="32"/>
      <c r="U648" s="6"/>
      <c r="W648" s="32"/>
      <c r="X648" s="32"/>
      <c r="Y648" s="32"/>
      <c r="Z648" s="32"/>
      <c r="AA648" s="32"/>
      <c r="AB648" s="32"/>
      <c r="AC648" s="32"/>
      <c r="AD648" s="32"/>
      <c r="AE648" s="32"/>
    </row>
    <row r="649" ht="15.75" customHeight="1"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6"/>
      <c r="P649" s="6"/>
      <c r="Q649" s="6"/>
      <c r="R649" s="6"/>
      <c r="S649" s="32"/>
      <c r="T649" s="32"/>
      <c r="U649" s="6"/>
      <c r="W649" s="32"/>
      <c r="X649" s="32"/>
      <c r="Y649" s="32"/>
      <c r="Z649" s="32"/>
      <c r="AA649" s="32"/>
      <c r="AB649" s="32"/>
      <c r="AC649" s="32"/>
      <c r="AD649" s="32"/>
      <c r="AE649" s="32"/>
    </row>
    <row r="650" ht="15.75" customHeight="1"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6"/>
      <c r="P650" s="6"/>
      <c r="Q650" s="6"/>
      <c r="R650" s="6"/>
      <c r="S650" s="32"/>
      <c r="T650" s="32"/>
      <c r="U650" s="6"/>
      <c r="W650" s="32"/>
      <c r="X650" s="32"/>
      <c r="Y650" s="32"/>
      <c r="Z650" s="32"/>
      <c r="AA650" s="32"/>
      <c r="AB650" s="32"/>
      <c r="AC650" s="32"/>
      <c r="AD650" s="32"/>
      <c r="AE650" s="32"/>
    </row>
    <row r="651" ht="15.75" customHeight="1"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6"/>
      <c r="P651" s="6"/>
      <c r="Q651" s="6"/>
      <c r="R651" s="6"/>
      <c r="S651" s="32"/>
      <c r="T651" s="32"/>
      <c r="U651" s="6"/>
      <c r="W651" s="32"/>
      <c r="X651" s="32"/>
      <c r="Y651" s="32"/>
      <c r="Z651" s="32"/>
      <c r="AA651" s="32"/>
      <c r="AB651" s="32"/>
      <c r="AC651" s="32"/>
      <c r="AD651" s="32"/>
      <c r="AE651" s="32"/>
    </row>
    <row r="652" ht="15.75" customHeight="1"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6"/>
      <c r="P652" s="6"/>
      <c r="Q652" s="6"/>
      <c r="R652" s="6"/>
      <c r="S652" s="32"/>
      <c r="T652" s="32"/>
      <c r="U652" s="6"/>
      <c r="W652" s="32"/>
      <c r="X652" s="32"/>
      <c r="Y652" s="32"/>
      <c r="Z652" s="32"/>
      <c r="AA652" s="32"/>
      <c r="AB652" s="32"/>
      <c r="AC652" s="32"/>
      <c r="AD652" s="32"/>
      <c r="AE652" s="32"/>
    </row>
    <row r="653" ht="15.75" customHeight="1"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6"/>
      <c r="P653" s="6"/>
      <c r="Q653" s="6"/>
      <c r="R653" s="6"/>
      <c r="S653" s="32"/>
      <c r="T653" s="32"/>
      <c r="U653" s="6"/>
      <c r="W653" s="32"/>
      <c r="X653" s="32"/>
      <c r="Y653" s="32"/>
      <c r="Z653" s="32"/>
      <c r="AA653" s="32"/>
      <c r="AB653" s="32"/>
      <c r="AC653" s="32"/>
      <c r="AD653" s="32"/>
      <c r="AE653" s="32"/>
    </row>
    <row r="654" ht="15.75" customHeight="1"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6"/>
      <c r="P654" s="6"/>
      <c r="Q654" s="6"/>
      <c r="R654" s="6"/>
      <c r="S654" s="32"/>
      <c r="T654" s="32"/>
      <c r="U654" s="6"/>
      <c r="W654" s="32"/>
      <c r="X654" s="32"/>
      <c r="Y654" s="32"/>
      <c r="Z654" s="32"/>
      <c r="AA654" s="32"/>
      <c r="AB654" s="32"/>
      <c r="AC654" s="32"/>
      <c r="AD654" s="32"/>
      <c r="AE654" s="32"/>
    </row>
    <row r="655" ht="15.75" customHeight="1"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6"/>
      <c r="P655" s="6"/>
      <c r="Q655" s="6"/>
      <c r="R655" s="6"/>
      <c r="S655" s="32"/>
      <c r="T655" s="32"/>
      <c r="U655" s="6"/>
      <c r="W655" s="32"/>
      <c r="X655" s="32"/>
      <c r="Y655" s="32"/>
      <c r="Z655" s="32"/>
      <c r="AA655" s="32"/>
      <c r="AB655" s="32"/>
      <c r="AC655" s="32"/>
      <c r="AD655" s="32"/>
      <c r="AE655" s="32"/>
    </row>
    <row r="656" ht="15.75" customHeight="1"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6"/>
      <c r="P656" s="6"/>
      <c r="Q656" s="6"/>
      <c r="R656" s="6"/>
      <c r="S656" s="32"/>
      <c r="T656" s="32"/>
      <c r="U656" s="6"/>
      <c r="W656" s="32"/>
      <c r="X656" s="32"/>
      <c r="Y656" s="32"/>
      <c r="Z656" s="32"/>
      <c r="AA656" s="32"/>
      <c r="AB656" s="32"/>
      <c r="AC656" s="32"/>
      <c r="AD656" s="32"/>
      <c r="AE656" s="32"/>
    </row>
    <row r="657" ht="15.75" customHeight="1"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6"/>
      <c r="P657" s="6"/>
      <c r="Q657" s="6"/>
      <c r="R657" s="6"/>
      <c r="S657" s="32"/>
      <c r="T657" s="32"/>
      <c r="U657" s="6"/>
      <c r="W657" s="32"/>
      <c r="X657" s="32"/>
      <c r="Y657" s="32"/>
      <c r="Z657" s="32"/>
      <c r="AA657" s="32"/>
      <c r="AB657" s="32"/>
      <c r="AC657" s="32"/>
      <c r="AD657" s="32"/>
      <c r="AE657" s="32"/>
    </row>
    <row r="658" ht="15.75" customHeight="1"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6"/>
      <c r="P658" s="6"/>
      <c r="Q658" s="6"/>
      <c r="R658" s="6"/>
      <c r="S658" s="32"/>
      <c r="T658" s="32"/>
      <c r="U658" s="6"/>
      <c r="W658" s="32"/>
      <c r="X658" s="32"/>
      <c r="Y658" s="32"/>
      <c r="Z658" s="32"/>
      <c r="AA658" s="32"/>
      <c r="AB658" s="32"/>
      <c r="AC658" s="32"/>
      <c r="AD658" s="32"/>
      <c r="AE658" s="32"/>
    </row>
    <row r="659" ht="15.75" customHeight="1"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6"/>
      <c r="P659" s="6"/>
      <c r="Q659" s="6"/>
      <c r="R659" s="6"/>
      <c r="S659" s="32"/>
      <c r="T659" s="32"/>
      <c r="U659" s="6"/>
      <c r="W659" s="32"/>
      <c r="X659" s="32"/>
      <c r="Y659" s="32"/>
      <c r="Z659" s="32"/>
      <c r="AA659" s="32"/>
      <c r="AB659" s="32"/>
      <c r="AC659" s="32"/>
      <c r="AD659" s="32"/>
      <c r="AE659" s="32"/>
    </row>
    <row r="660" ht="15.75" customHeight="1"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6"/>
      <c r="P660" s="6"/>
      <c r="Q660" s="6"/>
      <c r="R660" s="6"/>
      <c r="S660" s="32"/>
      <c r="T660" s="32"/>
      <c r="U660" s="6"/>
      <c r="W660" s="32"/>
      <c r="X660" s="32"/>
      <c r="Y660" s="32"/>
      <c r="Z660" s="32"/>
      <c r="AA660" s="32"/>
      <c r="AB660" s="32"/>
      <c r="AC660" s="32"/>
      <c r="AD660" s="32"/>
      <c r="AE660" s="32"/>
    </row>
    <row r="661" ht="15.75" customHeight="1"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6"/>
      <c r="P661" s="6"/>
      <c r="Q661" s="6"/>
      <c r="R661" s="6"/>
      <c r="S661" s="32"/>
      <c r="T661" s="32"/>
      <c r="U661" s="6"/>
      <c r="W661" s="32"/>
      <c r="X661" s="32"/>
      <c r="Y661" s="32"/>
      <c r="Z661" s="32"/>
      <c r="AA661" s="32"/>
      <c r="AB661" s="32"/>
      <c r="AC661" s="32"/>
      <c r="AD661" s="32"/>
      <c r="AE661" s="32"/>
    </row>
    <row r="662" ht="15.75" customHeight="1"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6"/>
      <c r="P662" s="6"/>
      <c r="Q662" s="6"/>
      <c r="R662" s="6"/>
      <c r="S662" s="32"/>
      <c r="T662" s="32"/>
      <c r="U662" s="6"/>
      <c r="W662" s="32"/>
      <c r="X662" s="32"/>
      <c r="Y662" s="32"/>
      <c r="Z662" s="32"/>
      <c r="AA662" s="32"/>
      <c r="AB662" s="32"/>
      <c r="AC662" s="32"/>
      <c r="AD662" s="32"/>
      <c r="AE662" s="32"/>
    </row>
    <row r="663" ht="15.75" customHeight="1"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6"/>
      <c r="P663" s="6"/>
      <c r="Q663" s="6"/>
      <c r="R663" s="6"/>
      <c r="S663" s="32"/>
      <c r="T663" s="32"/>
      <c r="U663" s="6"/>
      <c r="W663" s="32"/>
      <c r="X663" s="32"/>
      <c r="Y663" s="32"/>
      <c r="Z663" s="32"/>
      <c r="AA663" s="32"/>
      <c r="AB663" s="32"/>
      <c r="AC663" s="32"/>
      <c r="AD663" s="32"/>
      <c r="AE663" s="32"/>
    </row>
    <row r="664" ht="15.75" customHeight="1"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6"/>
      <c r="P664" s="6"/>
      <c r="Q664" s="6"/>
      <c r="R664" s="6"/>
      <c r="S664" s="32"/>
      <c r="T664" s="32"/>
      <c r="U664" s="6"/>
      <c r="W664" s="32"/>
      <c r="X664" s="32"/>
      <c r="Y664" s="32"/>
      <c r="Z664" s="32"/>
      <c r="AA664" s="32"/>
      <c r="AB664" s="32"/>
      <c r="AC664" s="32"/>
      <c r="AD664" s="32"/>
      <c r="AE664" s="32"/>
    </row>
    <row r="665" ht="15.75" customHeight="1"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6"/>
      <c r="P665" s="6"/>
      <c r="Q665" s="6"/>
      <c r="R665" s="6"/>
      <c r="S665" s="32"/>
      <c r="T665" s="32"/>
      <c r="U665" s="6"/>
      <c r="W665" s="32"/>
      <c r="X665" s="32"/>
      <c r="Y665" s="32"/>
      <c r="Z665" s="32"/>
      <c r="AA665" s="32"/>
      <c r="AB665" s="32"/>
      <c r="AC665" s="32"/>
      <c r="AD665" s="32"/>
      <c r="AE665" s="32"/>
    </row>
    <row r="666" ht="15.75" customHeight="1"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6"/>
      <c r="P666" s="6"/>
      <c r="Q666" s="6"/>
      <c r="R666" s="6"/>
      <c r="S666" s="32"/>
      <c r="T666" s="32"/>
      <c r="U666" s="6"/>
      <c r="W666" s="32"/>
      <c r="X666" s="32"/>
      <c r="Y666" s="32"/>
      <c r="Z666" s="32"/>
      <c r="AA666" s="32"/>
      <c r="AB666" s="32"/>
      <c r="AC666" s="32"/>
      <c r="AD666" s="32"/>
      <c r="AE666" s="32"/>
    </row>
    <row r="667" ht="15.75" customHeight="1"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6"/>
      <c r="P667" s="6"/>
      <c r="Q667" s="6"/>
      <c r="R667" s="6"/>
      <c r="S667" s="32"/>
      <c r="T667" s="32"/>
      <c r="U667" s="6"/>
      <c r="W667" s="32"/>
      <c r="X667" s="32"/>
      <c r="Y667" s="32"/>
      <c r="Z667" s="32"/>
      <c r="AA667" s="32"/>
      <c r="AB667" s="32"/>
      <c r="AC667" s="32"/>
      <c r="AD667" s="32"/>
      <c r="AE667" s="32"/>
    </row>
    <row r="668" ht="15.75" customHeight="1"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6"/>
      <c r="P668" s="6"/>
      <c r="Q668" s="6"/>
      <c r="R668" s="6"/>
      <c r="S668" s="32"/>
      <c r="T668" s="32"/>
      <c r="U668" s="6"/>
      <c r="W668" s="32"/>
      <c r="X668" s="32"/>
      <c r="Y668" s="32"/>
      <c r="Z668" s="32"/>
      <c r="AA668" s="32"/>
      <c r="AB668" s="32"/>
      <c r="AC668" s="32"/>
      <c r="AD668" s="32"/>
      <c r="AE668" s="32"/>
    </row>
    <row r="669" ht="15.75" customHeight="1"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6"/>
      <c r="P669" s="6"/>
      <c r="Q669" s="6"/>
      <c r="R669" s="6"/>
      <c r="S669" s="32"/>
      <c r="T669" s="32"/>
      <c r="U669" s="6"/>
      <c r="W669" s="32"/>
      <c r="X669" s="32"/>
      <c r="Y669" s="32"/>
      <c r="Z669" s="32"/>
      <c r="AA669" s="32"/>
      <c r="AB669" s="32"/>
      <c r="AC669" s="32"/>
      <c r="AD669" s="32"/>
      <c r="AE669" s="32"/>
    </row>
    <row r="670" ht="15.75" customHeight="1"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6"/>
      <c r="P670" s="6"/>
      <c r="Q670" s="6"/>
      <c r="R670" s="6"/>
      <c r="S670" s="32"/>
      <c r="T670" s="32"/>
      <c r="U670" s="6"/>
      <c r="W670" s="32"/>
      <c r="X670" s="32"/>
      <c r="Y670" s="32"/>
      <c r="Z670" s="32"/>
      <c r="AA670" s="32"/>
      <c r="AB670" s="32"/>
      <c r="AC670" s="32"/>
      <c r="AD670" s="32"/>
      <c r="AE670" s="32"/>
    </row>
    <row r="671" ht="15.75" customHeight="1"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6"/>
      <c r="P671" s="6"/>
      <c r="Q671" s="6"/>
      <c r="R671" s="6"/>
      <c r="S671" s="32"/>
      <c r="T671" s="32"/>
      <c r="U671" s="6"/>
      <c r="W671" s="32"/>
      <c r="X671" s="32"/>
      <c r="Y671" s="32"/>
      <c r="Z671" s="32"/>
      <c r="AA671" s="32"/>
      <c r="AB671" s="32"/>
      <c r="AC671" s="32"/>
      <c r="AD671" s="32"/>
      <c r="AE671" s="32"/>
    </row>
    <row r="672" ht="15.75" customHeight="1"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6"/>
      <c r="P672" s="6"/>
      <c r="Q672" s="6"/>
      <c r="R672" s="6"/>
      <c r="S672" s="32"/>
      <c r="T672" s="32"/>
      <c r="U672" s="6"/>
      <c r="W672" s="32"/>
      <c r="X672" s="32"/>
      <c r="Y672" s="32"/>
      <c r="Z672" s="32"/>
      <c r="AA672" s="32"/>
      <c r="AB672" s="32"/>
      <c r="AC672" s="32"/>
      <c r="AD672" s="32"/>
      <c r="AE672" s="32"/>
    </row>
    <row r="673" ht="15.75" customHeight="1"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6"/>
      <c r="P673" s="6"/>
      <c r="Q673" s="6"/>
      <c r="R673" s="6"/>
      <c r="S673" s="32"/>
      <c r="T673" s="32"/>
      <c r="U673" s="6"/>
      <c r="W673" s="32"/>
      <c r="X673" s="32"/>
      <c r="Y673" s="32"/>
      <c r="Z673" s="32"/>
      <c r="AA673" s="32"/>
      <c r="AB673" s="32"/>
      <c r="AC673" s="32"/>
      <c r="AD673" s="32"/>
      <c r="AE673" s="32"/>
    </row>
    <row r="674" ht="15.75" customHeight="1"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6"/>
      <c r="P674" s="6"/>
      <c r="Q674" s="6"/>
      <c r="R674" s="6"/>
      <c r="S674" s="32"/>
      <c r="T674" s="32"/>
      <c r="U674" s="6"/>
      <c r="W674" s="32"/>
      <c r="X674" s="32"/>
      <c r="Y674" s="32"/>
      <c r="Z674" s="32"/>
      <c r="AA674" s="32"/>
      <c r="AB674" s="32"/>
      <c r="AC674" s="32"/>
      <c r="AD674" s="32"/>
      <c r="AE674" s="32"/>
    </row>
    <row r="675" ht="15.75" customHeight="1"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6"/>
      <c r="P675" s="6"/>
      <c r="Q675" s="6"/>
      <c r="R675" s="6"/>
      <c r="S675" s="32"/>
      <c r="T675" s="32"/>
      <c r="U675" s="6"/>
      <c r="W675" s="32"/>
      <c r="X675" s="32"/>
      <c r="Y675" s="32"/>
      <c r="Z675" s="32"/>
      <c r="AA675" s="32"/>
      <c r="AB675" s="32"/>
      <c r="AC675" s="32"/>
      <c r="AD675" s="32"/>
      <c r="AE675" s="32"/>
    </row>
    <row r="676" ht="15.75" customHeight="1"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6"/>
      <c r="P676" s="6"/>
      <c r="Q676" s="6"/>
      <c r="R676" s="6"/>
      <c r="S676" s="32"/>
      <c r="T676" s="32"/>
      <c r="U676" s="6"/>
      <c r="W676" s="32"/>
      <c r="X676" s="32"/>
      <c r="Y676" s="32"/>
      <c r="Z676" s="32"/>
      <c r="AA676" s="32"/>
      <c r="AB676" s="32"/>
      <c r="AC676" s="32"/>
      <c r="AD676" s="32"/>
      <c r="AE676" s="32"/>
    </row>
    <row r="677" ht="15.75" customHeight="1"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6"/>
      <c r="P677" s="6"/>
      <c r="Q677" s="6"/>
      <c r="R677" s="6"/>
      <c r="S677" s="32"/>
      <c r="T677" s="32"/>
      <c r="U677" s="6"/>
      <c r="W677" s="32"/>
      <c r="X677" s="32"/>
      <c r="Y677" s="32"/>
      <c r="Z677" s="32"/>
      <c r="AA677" s="32"/>
      <c r="AB677" s="32"/>
      <c r="AC677" s="32"/>
      <c r="AD677" s="32"/>
      <c r="AE677" s="32"/>
    </row>
    <row r="678" ht="15.75" customHeight="1"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6"/>
      <c r="P678" s="6"/>
      <c r="Q678" s="6"/>
      <c r="R678" s="6"/>
      <c r="S678" s="32"/>
      <c r="T678" s="32"/>
      <c r="U678" s="6"/>
      <c r="W678" s="32"/>
      <c r="X678" s="32"/>
      <c r="Y678" s="32"/>
      <c r="Z678" s="32"/>
      <c r="AA678" s="32"/>
      <c r="AB678" s="32"/>
      <c r="AC678" s="32"/>
      <c r="AD678" s="32"/>
      <c r="AE678" s="32"/>
    </row>
    <row r="679" ht="15.75" customHeight="1"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6"/>
      <c r="P679" s="6"/>
      <c r="Q679" s="6"/>
      <c r="R679" s="6"/>
      <c r="S679" s="32"/>
      <c r="T679" s="32"/>
      <c r="U679" s="6"/>
      <c r="W679" s="32"/>
      <c r="X679" s="32"/>
      <c r="Y679" s="32"/>
      <c r="Z679" s="32"/>
      <c r="AA679" s="32"/>
      <c r="AB679" s="32"/>
      <c r="AC679" s="32"/>
      <c r="AD679" s="32"/>
      <c r="AE679" s="32"/>
    </row>
    <row r="680" ht="15.75" customHeight="1"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6"/>
      <c r="P680" s="6"/>
      <c r="Q680" s="6"/>
      <c r="R680" s="6"/>
      <c r="S680" s="32"/>
      <c r="T680" s="32"/>
      <c r="U680" s="6"/>
      <c r="W680" s="32"/>
      <c r="X680" s="32"/>
      <c r="Y680" s="32"/>
      <c r="Z680" s="32"/>
      <c r="AA680" s="32"/>
      <c r="AB680" s="32"/>
      <c r="AC680" s="32"/>
      <c r="AD680" s="32"/>
      <c r="AE680" s="32"/>
    </row>
    <row r="681" ht="15.75" customHeight="1"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6"/>
      <c r="P681" s="6"/>
      <c r="Q681" s="6"/>
      <c r="R681" s="6"/>
      <c r="S681" s="32"/>
      <c r="T681" s="32"/>
      <c r="U681" s="6"/>
      <c r="W681" s="32"/>
      <c r="X681" s="32"/>
      <c r="Y681" s="32"/>
      <c r="Z681" s="32"/>
      <c r="AA681" s="32"/>
      <c r="AB681" s="32"/>
      <c r="AC681" s="32"/>
      <c r="AD681" s="32"/>
      <c r="AE681" s="32"/>
    </row>
    <row r="682" ht="15.75" customHeight="1"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6"/>
      <c r="P682" s="6"/>
      <c r="Q682" s="6"/>
      <c r="R682" s="6"/>
      <c r="S682" s="32"/>
      <c r="T682" s="32"/>
      <c r="U682" s="6"/>
      <c r="W682" s="32"/>
      <c r="X682" s="32"/>
      <c r="Y682" s="32"/>
      <c r="Z682" s="32"/>
      <c r="AA682" s="32"/>
      <c r="AB682" s="32"/>
      <c r="AC682" s="32"/>
      <c r="AD682" s="32"/>
      <c r="AE682" s="32"/>
    </row>
    <row r="683" ht="15.75" customHeight="1"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6"/>
      <c r="P683" s="6"/>
      <c r="Q683" s="6"/>
      <c r="R683" s="6"/>
      <c r="S683" s="32"/>
      <c r="T683" s="32"/>
      <c r="U683" s="6"/>
      <c r="W683" s="32"/>
      <c r="X683" s="32"/>
      <c r="Y683" s="32"/>
      <c r="Z683" s="32"/>
      <c r="AA683" s="32"/>
      <c r="AB683" s="32"/>
      <c r="AC683" s="32"/>
      <c r="AD683" s="32"/>
      <c r="AE683" s="32"/>
    </row>
    <row r="684" ht="15.75" customHeight="1"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6"/>
      <c r="P684" s="6"/>
      <c r="Q684" s="6"/>
      <c r="R684" s="6"/>
      <c r="S684" s="32"/>
      <c r="T684" s="32"/>
      <c r="U684" s="6"/>
      <c r="W684" s="32"/>
      <c r="X684" s="32"/>
      <c r="Y684" s="32"/>
      <c r="Z684" s="32"/>
      <c r="AA684" s="32"/>
      <c r="AB684" s="32"/>
      <c r="AC684" s="32"/>
      <c r="AD684" s="32"/>
      <c r="AE684" s="32"/>
    </row>
    <row r="685" ht="15.75" customHeight="1"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6"/>
      <c r="P685" s="6"/>
      <c r="Q685" s="6"/>
      <c r="R685" s="6"/>
      <c r="S685" s="32"/>
      <c r="T685" s="32"/>
      <c r="U685" s="6"/>
      <c r="W685" s="32"/>
      <c r="X685" s="32"/>
      <c r="Y685" s="32"/>
      <c r="Z685" s="32"/>
      <c r="AA685" s="32"/>
      <c r="AB685" s="32"/>
      <c r="AC685" s="32"/>
      <c r="AD685" s="32"/>
      <c r="AE685" s="32"/>
    </row>
    <row r="686" ht="15.75" customHeight="1"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6"/>
      <c r="P686" s="6"/>
      <c r="Q686" s="6"/>
      <c r="R686" s="6"/>
      <c r="S686" s="32"/>
      <c r="T686" s="32"/>
      <c r="U686" s="6"/>
      <c r="W686" s="32"/>
      <c r="X686" s="32"/>
      <c r="Y686" s="32"/>
      <c r="Z686" s="32"/>
      <c r="AA686" s="32"/>
      <c r="AB686" s="32"/>
      <c r="AC686" s="32"/>
      <c r="AD686" s="32"/>
      <c r="AE686" s="32"/>
    </row>
    <row r="687" ht="15.75" customHeight="1"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6"/>
      <c r="P687" s="6"/>
      <c r="Q687" s="6"/>
      <c r="R687" s="6"/>
      <c r="S687" s="32"/>
      <c r="T687" s="32"/>
      <c r="U687" s="6"/>
      <c r="W687" s="32"/>
      <c r="X687" s="32"/>
      <c r="Y687" s="32"/>
      <c r="Z687" s="32"/>
      <c r="AA687" s="32"/>
      <c r="AB687" s="32"/>
      <c r="AC687" s="32"/>
      <c r="AD687" s="32"/>
      <c r="AE687" s="32"/>
    </row>
    <row r="688" ht="15.75" customHeight="1"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6"/>
      <c r="P688" s="6"/>
      <c r="Q688" s="6"/>
      <c r="R688" s="6"/>
      <c r="S688" s="32"/>
      <c r="T688" s="32"/>
      <c r="U688" s="6"/>
      <c r="W688" s="32"/>
      <c r="X688" s="32"/>
      <c r="Y688" s="32"/>
      <c r="Z688" s="32"/>
      <c r="AA688" s="32"/>
      <c r="AB688" s="32"/>
      <c r="AC688" s="32"/>
      <c r="AD688" s="32"/>
      <c r="AE688" s="32"/>
    </row>
    <row r="689" ht="15.75" customHeight="1"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6"/>
      <c r="P689" s="6"/>
      <c r="Q689" s="6"/>
      <c r="R689" s="6"/>
      <c r="S689" s="32"/>
      <c r="T689" s="32"/>
      <c r="U689" s="6"/>
      <c r="W689" s="32"/>
      <c r="X689" s="32"/>
      <c r="Y689" s="32"/>
      <c r="Z689" s="32"/>
      <c r="AA689" s="32"/>
      <c r="AB689" s="32"/>
      <c r="AC689" s="32"/>
      <c r="AD689" s="32"/>
      <c r="AE689" s="32"/>
    </row>
    <row r="690" ht="15.75" customHeight="1"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6"/>
      <c r="P690" s="6"/>
      <c r="Q690" s="6"/>
      <c r="R690" s="6"/>
      <c r="S690" s="32"/>
      <c r="T690" s="32"/>
      <c r="U690" s="6"/>
      <c r="W690" s="32"/>
      <c r="X690" s="32"/>
      <c r="Y690" s="32"/>
      <c r="Z690" s="32"/>
      <c r="AA690" s="32"/>
      <c r="AB690" s="32"/>
      <c r="AC690" s="32"/>
      <c r="AD690" s="32"/>
      <c r="AE690" s="32"/>
    </row>
    <row r="691" ht="15.75" customHeight="1"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6"/>
      <c r="P691" s="6"/>
      <c r="Q691" s="6"/>
      <c r="R691" s="6"/>
      <c r="S691" s="32"/>
      <c r="T691" s="32"/>
      <c r="U691" s="6"/>
      <c r="W691" s="32"/>
      <c r="X691" s="32"/>
      <c r="Y691" s="32"/>
      <c r="Z691" s="32"/>
      <c r="AA691" s="32"/>
      <c r="AB691" s="32"/>
      <c r="AC691" s="32"/>
      <c r="AD691" s="32"/>
      <c r="AE691" s="32"/>
    </row>
    <row r="692" ht="15.75" customHeight="1"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6"/>
      <c r="P692" s="6"/>
      <c r="Q692" s="6"/>
      <c r="R692" s="6"/>
      <c r="S692" s="32"/>
      <c r="T692" s="32"/>
      <c r="U692" s="6"/>
      <c r="W692" s="32"/>
      <c r="X692" s="32"/>
      <c r="Y692" s="32"/>
      <c r="Z692" s="32"/>
      <c r="AA692" s="32"/>
      <c r="AB692" s="32"/>
      <c r="AC692" s="32"/>
      <c r="AD692" s="32"/>
      <c r="AE692" s="32"/>
    </row>
    <row r="693" ht="15.75" customHeight="1"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6"/>
      <c r="P693" s="6"/>
      <c r="Q693" s="6"/>
      <c r="R693" s="6"/>
      <c r="S693" s="32"/>
      <c r="T693" s="32"/>
      <c r="U693" s="6"/>
      <c r="W693" s="32"/>
      <c r="X693" s="32"/>
      <c r="Y693" s="32"/>
      <c r="Z693" s="32"/>
      <c r="AA693" s="32"/>
      <c r="AB693" s="32"/>
      <c r="AC693" s="32"/>
      <c r="AD693" s="32"/>
      <c r="AE693" s="32"/>
    </row>
    <row r="694" ht="15.75" customHeight="1"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6"/>
      <c r="P694" s="6"/>
      <c r="Q694" s="6"/>
      <c r="R694" s="6"/>
      <c r="S694" s="32"/>
      <c r="T694" s="32"/>
      <c r="U694" s="6"/>
      <c r="W694" s="32"/>
      <c r="X694" s="32"/>
      <c r="Y694" s="32"/>
      <c r="Z694" s="32"/>
      <c r="AA694" s="32"/>
      <c r="AB694" s="32"/>
      <c r="AC694" s="32"/>
      <c r="AD694" s="32"/>
      <c r="AE694" s="32"/>
    </row>
    <row r="695" ht="15.75" customHeight="1"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6"/>
      <c r="P695" s="6"/>
      <c r="Q695" s="6"/>
      <c r="R695" s="6"/>
      <c r="S695" s="32"/>
      <c r="T695" s="32"/>
      <c r="U695" s="6"/>
      <c r="W695" s="32"/>
      <c r="X695" s="32"/>
      <c r="Y695" s="32"/>
      <c r="Z695" s="32"/>
      <c r="AA695" s="32"/>
      <c r="AB695" s="32"/>
      <c r="AC695" s="32"/>
      <c r="AD695" s="32"/>
      <c r="AE695" s="32"/>
    </row>
    <row r="696" ht="15.75" customHeight="1"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6"/>
      <c r="P696" s="6"/>
      <c r="Q696" s="6"/>
      <c r="R696" s="6"/>
      <c r="S696" s="32"/>
      <c r="T696" s="32"/>
      <c r="U696" s="6"/>
      <c r="W696" s="32"/>
      <c r="X696" s="32"/>
      <c r="Y696" s="32"/>
      <c r="Z696" s="32"/>
      <c r="AA696" s="32"/>
      <c r="AB696" s="32"/>
      <c r="AC696" s="32"/>
      <c r="AD696" s="32"/>
      <c r="AE696" s="32"/>
    </row>
    <row r="697" ht="15.75" customHeight="1"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6"/>
      <c r="P697" s="6"/>
      <c r="Q697" s="6"/>
      <c r="R697" s="6"/>
      <c r="S697" s="32"/>
      <c r="T697" s="32"/>
      <c r="U697" s="6"/>
      <c r="W697" s="32"/>
      <c r="X697" s="32"/>
      <c r="Y697" s="32"/>
      <c r="Z697" s="32"/>
      <c r="AA697" s="32"/>
      <c r="AB697" s="32"/>
      <c r="AC697" s="32"/>
      <c r="AD697" s="32"/>
      <c r="AE697" s="32"/>
    </row>
    <row r="698" ht="15.75" customHeight="1"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6"/>
      <c r="P698" s="6"/>
      <c r="Q698" s="6"/>
      <c r="R698" s="6"/>
      <c r="S698" s="32"/>
      <c r="T698" s="32"/>
      <c r="U698" s="6"/>
      <c r="W698" s="32"/>
      <c r="X698" s="32"/>
      <c r="Y698" s="32"/>
      <c r="Z698" s="32"/>
      <c r="AA698" s="32"/>
      <c r="AB698" s="32"/>
      <c r="AC698" s="32"/>
      <c r="AD698" s="32"/>
      <c r="AE698" s="32"/>
    </row>
    <row r="699" ht="15.75" customHeight="1"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6"/>
      <c r="P699" s="6"/>
      <c r="Q699" s="6"/>
      <c r="R699" s="6"/>
      <c r="S699" s="32"/>
      <c r="T699" s="32"/>
      <c r="U699" s="6"/>
      <c r="W699" s="32"/>
      <c r="X699" s="32"/>
      <c r="Y699" s="32"/>
      <c r="Z699" s="32"/>
      <c r="AA699" s="32"/>
      <c r="AB699" s="32"/>
      <c r="AC699" s="32"/>
      <c r="AD699" s="32"/>
      <c r="AE699" s="32"/>
    </row>
    <row r="700" ht="15.75" customHeight="1"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6"/>
      <c r="P700" s="6"/>
      <c r="Q700" s="6"/>
      <c r="R700" s="6"/>
      <c r="S700" s="32"/>
      <c r="T700" s="32"/>
      <c r="U700" s="6"/>
      <c r="W700" s="32"/>
      <c r="X700" s="32"/>
      <c r="Y700" s="32"/>
      <c r="Z700" s="32"/>
      <c r="AA700" s="32"/>
      <c r="AB700" s="32"/>
      <c r="AC700" s="32"/>
      <c r="AD700" s="32"/>
      <c r="AE700" s="32"/>
    </row>
    <row r="701" ht="15.75" customHeight="1"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6"/>
      <c r="P701" s="6"/>
      <c r="Q701" s="6"/>
      <c r="R701" s="6"/>
      <c r="S701" s="32"/>
      <c r="T701" s="32"/>
      <c r="U701" s="6"/>
      <c r="W701" s="32"/>
      <c r="X701" s="32"/>
      <c r="Y701" s="32"/>
      <c r="Z701" s="32"/>
      <c r="AA701" s="32"/>
      <c r="AB701" s="32"/>
      <c r="AC701" s="32"/>
      <c r="AD701" s="32"/>
      <c r="AE701" s="32"/>
    </row>
    <row r="702" ht="15.75" customHeight="1"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6"/>
      <c r="P702" s="6"/>
      <c r="Q702" s="6"/>
      <c r="R702" s="6"/>
      <c r="S702" s="32"/>
      <c r="T702" s="32"/>
      <c r="U702" s="6"/>
      <c r="W702" s="32"/>
      <c r="X702" s="32"/>
      <c r="Y702" s="32"/>
      <c r="Z702" s="32"/>
      <c r="AA702" s="32"/>
      <c r="AB702" s="32"/>
      <c r="AC702" s="32"/>
      <c r="AD702" s="32"/>
      <c r="AE702" s="32"/>
    </row>
    <row r="703" ht="15.75" customHeight="1"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6"/>
      <c r="P703" s="6"/>
      <c r="Q703" s="6"/>
      <c r="R703" s="6"/>
      <c r="S703" s="32"/>
      <c r="T703" s="32"/>
      <c r="U703" s="6"/>
      <c r="W703" s="32"/>
      <c r="X703" s="32"/>
      <c r="Y703" s="32"/>
      <c r="Z703" s="32"/>
      <c r="AA703" s="32"/>
      <c r="AB703" s="32"/>
      <c r="AC703" s="32"/>
      <c r="AD703" s="32"/>
      <c r="AE703" s="32"/>
    </row>
    <row r="704" ht="15.75" customHeight="1"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6"/>
      <c r="P704" s="6"/>
      <c r="Q704" s="6"/>
      <c r="R704" s="6"/>
      <c r="S704" s="32"/>
      <c r="T704" s="32"/>
      <c r="U704" s="6"/>
      <c r="W704" s="32"/>
      <c r="X704" s="32"/>
      <c r="Y704" s="32"/>
      <c r="Z704" s="32"/>
      <c r="AA704" s="32"/>
      <c r="AB704" s="32"/>
      <c r="AC704" s="32"/>
      <c r="AD704" s="32"/>
      <c r="AE704" s="32"/>
    </row>
    <row r="705" ht="15.75" customHeight="1"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6"/>
      <c r="P705" s="6"/>
      <c r="Q705" s="6"/>
      <c r="R705" s="6"/>
      <c r="S705" s="32"/>
      <c r="T705" s="32"/>
      <c r="U705" s="6"/>
      <c r="W705" s="32"/>
      <c r="X705" s="32"/>
      <c r="Y705" s="32"/>
      <c r="Z705" s="32"/>
      <c r="AA705" s="32"/>
      <c r="AB705" s="32"/>
      <c r="AC705" s="32"/>
      <c r="AD705" s="32"/>
      <c r="AE705" s="32"/>
    </row>
    <row r="706" ht="15.75" customHeight="1"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6"/>
      <c r="P706" s="6"/>
      <c r="Q706" s="6"/>
      <c r="R706" s="6"/>
      <c r="S706" s="32"/>
      <c r="T706" s="32"/>
      <c r="U706" s="6"/>
      <c r="W706" s="32"/>
      <c r="X706" s="32"/>
      <c r="Y706" s="32"/>
      <c r="Z706" s="32"/>
      <c r="AA706" s="32"/>
      <c r="AB706" s="32"/>
      <c r="AC706" s="32"/>
      <c r="AD706" s="32"/>
      <c r="AE706" s="32"/>
    </row>
    <row r="707" ht="15.75" customHeight="1"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6"/>
      <c r="P707" s="6"/>
      <c r="Q707" s="6"/>
      <c r="R707" s="6"/>
      <c r="S707" s="32"/>
      <c r="T707" s="32"/>
      <c r="U707" s="6"/>
      <c r="W707" s="32"/>
      <c r="X707" s="32"/>
      <c r="Y707" s="32"/>
      <c r="Z707" s="32"/>
      <c r="AA707" s="32"/>
      <c r="AB707" s="32"/>
      <c r="AC707" s="32"/>
      <c r="AD707" s="32"/>
      <c r="AE707" s="32"/>
    </row>
    <row r="708" ht="15.75" customHeight="1"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6"/>
      <c r="P708" s="6"/>
      <c r="Q708" s="6"/>
      <c r="R708" s="6"/>
      <c r="S708" s="32"/>
      <c r="T708" s="32"/>
      <c r="U708" s="6"/>
      <c r="W708" s="32"/>
      <c r="X708" s="32"/>
      <c r="Y708" s="32"/>
      <c r="Z708" s="32"/>
      <c r="AA708" s="32"/>
      <c r="AB708" s="32"/>
      <c r="AC708" s="32"/>
      <c r="AD708" s="32"/>
      <c r="AE708" s="32"/>
    </row>
    <row r="709" ht="15.75" customHeight="1"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6"/>
      <c r="P709" s="6"/>
      <c r="Q709" s="6"/>
      <c r="R709" s="6"/>
      <c r="S709" s="32"/>
      <c r="T709" s="32"/>
      <c r="U709" s="6"/>
      <c r="W709" s="32"/>
      <c r="X709" s="32"/>
      <c r="Y709" s="32"/>
      <c r="Z709" s="32"/>
      <c r="AA709" s="32"/>
      <c r="AB709" s="32"/>
      <c r="AC709" s="32"/>
      <c r="AD709" s="32"/>
      <c r="AE709" s="32"/>
    </row>
    <row r="710" ht="15.75" customHeight="1"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6"/>
      <c r="P710" s="6"/>
      <c r="Q710" s="6"/>
      <c r="R710" s="6"/>
      <c r="S710" s="32"/>
      <c r="T710" s="32"/>
      <c r="U710" s="6"/>
      <c r="W710" s="32"/>
      <c r="X710" s="32"/>
      <c r="Y710" s="32"/>
      <c r="Z710" s="32"/>
      <c r="AA710" s="32"/>
      <c r="AB710" s="32"/>
      <c r="AC710" s="32"/>
      <c r="AD710" s="32"/>
      <c r="AE710" s="32"/>
    </row>
    <row r="711" ht="15.75" customHeight="1"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6"/>
      <c r="P711" s="6"/>
      <c r="Q711" s="6"/>
      <c r="R711" s="6"/>
      <c r="S711" s="32"/>
      <c r="T711" s="32"/>
      <c r="U711" s="6"/>
      <c r="W711" s="32"/>
      <c r="X711" s="32"/>
      <c r="Y711" s="32"/>
      <c r="Z711" s="32"/>
      <c r="AA711" s="32"/>
      <c r="AB711" s="32"/>
      <c r="AC711" s="32"/>
      <c r="AD711" s="32"/>
      <c r="AE711" s="32"/>
    </row>
    <row r="712" ht="15.75" customHeight="1"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6"/>
      <c r="P712" s="6"/>
      <c r="Q712" s="6"/>
      <c r="R712" s="6"/>
      <c r="S712" s="32"/>
      <c r="T712" s="32"/>
      <c r="U712" s="6"/>
      <c r="W712" s="32"/>
      <c r="X712" s="32"/>
      <c r="Y712" s="32"/>
      <c r="Z712" s="32"/>
      <c r="AA712" s="32"/>
      <c r="AB712" s="32"/>
      <c r="AC712" s="32"/>
      <c r="AD712" s="32"/>
      <c r="AE712" s="32"/>
    </row>
    <row r="713" ht="15.75" customHeight="1"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6"/>
      <c r="P713" s="6"/>
      <c r="Q713" s="6"/>
      <c r="R713" s="6"/>
      <c r="S713" s="32"/>
      <c r="T713" s="32"/>
      <c r="U713" s="6"/>
      <c r="W713" s="32"/>
      <c r="X713" s="32"/>
      <c r="Y713" s="32"/>
      <c r="Z713" s="32"/>
      <c r="AA713" s="32"/>
      <c r="AB713" s="32"/>
      <c r="AC713" s="32"/>
      <c r="AD713" s="32"/>
      <c r="AE713" s="32"/>
    </row>
    <row r="714" ht="15.75" customHeight="1"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6"/>
      <c r="P714" s="6"/>
      <c r="Q714" s="6"/>
      <c r="R714" s="6"/>
      <c r="S714" s="32"/>
      <c r="T714" s="32"/>
      <c r="U714" s="6"/>
      <c r="W714" s="32"/>
      <c r="X714" s="32"/>
      <c r="Y714" s="32"/>
      <c r="Z714" s="32"/>
      <c r="AA714" s="32"/>
      <c r="AB714" s="32"/>
      <c r="AC714" s="32"/>
      <c r="AD714" s="32"/>
      <c r="AE714" s="32"/>
    </row>
    <row r="715" ht="15.75" customHeight="1"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6"/>
      <c r="P715" s="6"/>
      <c r="Q715" s="6"/>
      <c r="R715" s="6"/>
      <c r="S715" s="32"/>
      <c r="T715" s="32"/>
      <c r="U715" s="6"/>
      <c r="W715" s="32"/>
      <c r="X715" s="32"/>
      <c r="Y715" s="32"/>
      <c r="Z715" s="32"/>
      <c r="AA715" s="32"/>
      <c r="AB715" s="32"/>
      <c r="AC715" s="32"/>
      <c r="AD715" s="32"/>
      <c r="AE715" s="32"/>
    </row>
    <row r="716" ht="15.75" customHeight="1"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6"/>
      <c r="P716" s="6"/>
      <c r="Q716" s="6"/>
      <c r="R716" s="6"/>
      <c r="S716" s="32"/>
      <c r="T716" s="32"/>
      <c r="U716" s="6"/>
      <c r="W716" s="32"/>
      <c r="X716" s="32"/>
      <c r="Y716" s="32"/>
      <c r="Z716" s="32"/>
      <c r="AA716" s="32"/>
      <c r="AB716" s="32"/>
      <c r="AC716" s="32"/>
      <c r="AD716" s="32"/>
      <c r="AE716" s="32"/>
    </row>
    <row r="717" ht="15.75" customHeight="1"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6"/>
      <c r="P717" s="6"/>
      <c r="Q717" s="6"/>
      <c r="R717" s="6"/>
      <c r="S717" s="32"/>
      <c r="T717" s="32"/>
      <c r="U717" s="6"/>
      <c r="W717" s="32"/>
      <c r="X717" s="32"/>
      <c r="Y717" s="32"/>
      <c r="Z717" s="32"/>
      <c r="AA717" s="32"/>
      <c r="AB717" s="32"/>
      <c r="AC717" s="32"/>
      <c r="AD717" s="32"/>
      <c r="AE717" s="32"/>
    </row>
    <row r="718" ht="15.75" customHeight="1"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6"/>
      <c r="P718" s="6"/>
      <c r="Q718" s="6"/>
      <c r="R718" s="6"/>
      <c r="S718" s="32"/>
      <c r="T718" s="32"/>
      <c r="U718" s="6"/>
      <c r="W718" s="32"/>
      <c r="X718" s="32"/>
      <c r="Y718" s="32"/>
      <c r="Z718" s="32"/>
      <c r="AA718" s="32"/>
      <c r="AB718" s="32"/>
      <c r="AC718" s="32"/>
      <c r="AD718" s="32"/>
      <c r="AE718" s="32"/>
    </row>
    <row r="719" ht="15.75" customHeight="1"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6"/>
      <c r="P719" s="6"/>
      <c r="Q719" s="6"/>
      <c r="R719" s="6"/>
      <c r="S719" s="32"/>
      <c r="T719" s="32"/>
      <c r="U719" s="6"/>
      <c r="W719" s="32"/>
      <c r="X719" s="32"/>
      <c r="Y719" s="32"/>
      <c r="Z719" s="32"/>
      <c r="AA719" s="32"/>
      <c r="AB719" s="32"/>
      <c r="AC719" s="32"/>
      <c r="AD719" s="32"/>
      <c r="AE719" s="32"/>
    </row>
    <row r="720" ht="15.75" customHeight="1"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6"/>
      <c r="P720" s="6"/>
      <c r="Q720" s="6"/>
      <c r="R720" s="6"/>
      <c r="S720" s="32"/>
      <c r="T720" s="32"/>
      <c r="U720" s="6"/>
      <c r="W720" s="32"/>
      <c r="X720" s="32"/>
      <c r="Y720" s="32"/>
      <c r="Z720" s="32"/>
      <c r="AA720" s="32"/>
      <c r="AB720" s="32"/>
      <c r="AC720" s="32"/>
      <c r="AD720" s="32"/>
      <c r="AE720" s="32"/>
    </row>
    <row r="721" ht="15.75" customHeight="1"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6"/>
      <c r="P721" s="6"/>
      <c r="Q721" s="6"/>
      <c r="R721" s="6"/>
      <c r="S721" s="32"/>
      <c r="T721" s="32"/>
      <c r="U721" s="6"/>
      <c r="W721" s="32"/>
      <c r="X721" s="32"/>
      <c r="Y721" s="32"/>
      <c r="Z721" s="32"/>
      <c r="AA721" s="32"/>
      <c r="AB721" s="32"/>
      <c r="AC721" s="32"/>
      <c r="AD721" s="32"/>
      <c r="AE721" s="32"/>
    </row>
    <row r="722" ht="15.75" customHeight="1"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6"/>
      <c r="P722" s="6"/>
      <c r="Q722" s="6"/>
      <c r="R722" s="6"/>
      <c r="S722" s="32"/>
      <c r="T722" s="32"/>
      <c r="U722" s="6"/>
      <c r="W722" s="32"/>
      <c r="X722" s="32"/>
      <c r="Y722" s="32"/>
      <c r="Z722" s="32"/>
      <c r="AA722" s="32"/>
      <c r="AB722" s="32"/>
      <c r="AC722" s="32"/>
      <c r="AD722" s="32"/>
      <c r="AE722" s="32"/>
    </row>
    <row r="723" ht="15.75" customHeight="1"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6"/>
      <c r="P723" s="6"/>
      <c r="Q723" s="6"/>
      <c r="R723" s="6"/>
      <c r="S723" s="32"/>
      <c r="T723" s="32"/>
      <c r="U723" s="6"/>
      <c r="W723" s="32"/>
      <c r="X723" s="32"/>
      <c r="Y723" s="32"/>
      <c r="Z723" s="32"/>
      <c r="AA723" s="32"/>
      <c r="AB723" s="32"/>
      <c r="AC723" s="32"/>
      <c r="AD723" s="32"/>
      <c r="AE723" s="32"/>
    </row>
    <row r="724" ht="15.75" customHeight="1"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6"/>
      <c r="P724" s="6"/>
      <c r="Q724" s="6"/>
      <c r="R724" s="6"/>
      <c r="S724" s="32"/>
      <c r="T724" s="32"/>
      <c r="U724" s="6"/>
      <c r="W724" s="32"/>
      <c r="X724" s="32"/>
      <c r="Y724" s="32"/>
      <c r="Z724" s="32"/>
      <c r="AA724" s="32"/>
      <c r="AB724" s="32"/>
      <c r="AC724" s="32"/>
      <c r="AD724" s="32"/>
      <c r="AE724" s="32"/>
    </row>
    <row r="725" ht="15.75" customHeight="1"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6"/>
      <c r="P725" s="6"/>
      <c r="Q725" s="6"/>
      <c r="R725" s="6"/>
      <c r="S725" s="32"/>
      <c r="T725" s="32"/>
      <c r="U725" s="6"/>
      <c r="W725" s="32"/>
      <c r="X725" s="32"/>
      <c r="Y725" s="32"/>
      <c r="Z725" s="32"/>
      <c r="AA725" s="32"/>
      <c r="AB725" s="32"/>
      <c r="AC725" s="32"/>
      <c r="AD725" s="32"/>
      <c r="AE725" s="32"/>
    </row>
    <row r="726" ht="15.75" customHeight="1"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6"/>
      <c r="P726" s="6"/>
      <c r="Q726" s="6"/>
      <c r="R726" s="6"/>
      <c r="S726" s="32"/>
      <c r="T726" s="32"/>
      <c r="U726" s="6"/>
      <c r="W726" s="32"/>
      <c r="X726" s="32"/>
      <c r="Y726" s="32"/>
      <c r="Z726" s="32"/>
      <c r="AA726" s="32"/>
      <c r="AB726" s="32"/>
      <c r="AC726" s="32"/>
      <c r="AD726" s="32"/>
      <c r="AE726" s="32"/>
    </row>
    <row r="727" ht="15.75" customHeight="1"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6"/>
      <c r="P727" s="6"/>
      <c r="Q727" s="6"/>
      <c r="R727" s="6"/>
      <c r="S727" s="32"/>
      <c r="T727" s="32"/>
      <c r="U727" s="6"/>
      <c r="W727" s="32"/>
      <c r="X727" s="32"/>
      <c r="Y727" s="32"/>
      <c r="Z727" s="32"/>
      <c r="AA727" s="32"/>
      <c r="AB727" s="32"/>
      <c r="AC727" s="32"/>
      <c r="AD727" s="32"/>
      <c r="AE727" s="32"/>
    </row>
    <row r="728" ht="15.75" customHeight="1"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6"/>
      <c r="P728" s="6"/>
      <c r="Q728" s="6"/>
      <c r="R728" s="6"/>
      <c r="S728" s="32"/>
      <c r="T728" s="32"/>
      <c r="U728" s="6"/>
      <c r="W728" s="32"/>
      <c r="X728" s="32"/>
      <c r="Y728" s="32"/>
      <c r="Z728" s="32"/>
      <c r="AA728" s="32"/>
      <c r="AB728" s="32"/>
      <c r="AC728" s="32"/>
      <c r="AD728" s="32"/>
      <c r="AE728" s="32"/>
    </row>
    <row r="729" ht="15.75" customHeight="1"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6"/>
      <c r="P729" s="6"/>
      <c r="Q729" s="6"/>
      <c r="R729" s="6"/>
      <c r="S729" s="32"/>
      <c r="T729" s="32"/>
      <c r="U729" s="6"/>
      <c r="W729" s="32"/>
      <c r="X729" s="32"/>
      <c r="Y729" s="32"/>
      <c r="Z729" s="32"/>
      <c r="AA729" s="32"/>
      <c r="AB729" s="32"/>
      <c r="AC729" s="32"/>
      <c r="AD729" s="32"/>
      <c r="AE729" s="32"/>
    </row>
    <row r="730" ht="15.75" customHeight="1"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6"/>
      <c r="P730" s="6"/>
      <c r="Q730" s="6"/>
      <c r="R730" s="6"/>
      <c r="S730" s="32"/>
      <c r="T730" s="32"/>
      <c r="U730" s="6"/>
      <c r="W730" s="32"/>
      <c r="X730" s="32"/>
      <c r="Y730" s="32"/>
      <c r="Z730" s="32"/>
      <c r="AA730" s="32"/>
      <c r="AB730" s="32"/>
      <c r="AC730" s="32"/>
      <c r="AD730" s="32"/>
      <c r="AE730" s="32"/>
    </row>
    <row r="731" ht="15.75" customHeight="1"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6"/>
      <c r="P731" s="6"/>
      <c r="Q731" s="6"/>
      <c r="R731" s="6"/>
      <c r="S731" s="32"/>
      <c r="T731" s="32"/>
      <c r="U731" s="6"/>
      <c r="W731" s="32"/>
      <c r="X731" s="32"/>
      <c r="Y731" s="32"/>
      <c r="Z731" s="32"/>
      <c r="AA731" s="32"/>
      <c r="AB731" s="32"/>
      <c r="AC731" s="32"/>
      <c r="AD731" s="32"/>
      <c r="AE731" s="32"/>
    </row>
    <row r="732" ht="15.75" customHeight="1"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6"/>
      <c r="P732" s="6"/>
      <c r="Q732" s="6"/>
      <c r="R732" s="6"/>
      <c r="S732" s="32"/>
      <c r="T732" s="32"/>
      <c r="U732" s="6"/>
      <c r="W732" s="32"/>
      <c r="X732" s="32"/>
      <c r="Y732" s="32"/>
      <c r="Z732" s="32"/>
      <c r="AA732" s="32"/>
      <c r="AB732" s="32"/>
      <c r="AC732" s="32"/>
      <c r="AD732" s="32"/>
      <c r="AE732" s="32"/>
    </row>
    <row r="733" ht="15.75" customHeight="1"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6"/>
      <c r="P733" s="6"/>
      <c r="Q733" s="6"/>
      <c r="R733" s="6"/>
      <c r="S733" s="32"/>
      <c r="T733" s="32"/>
      <c r="U733" s="6"/>
      <c r="W733" s="32"/>
      <c r="X733" s="32"/>
      <c r="Y733" s="32"/>
      <c r="Z733" s="32"/>
      <c r="AA733" s="32"/>
      <c r="AB733" s="32"/>
      <c r="AC733" s="32"/>
      <c r="AD733" s="32"/>
      <c r="AE733" s="32"/>
    </row>
    <row r="734" ht="15.75" customHeight="1"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6"/>
      <c r="P734" s="6"/>
      <c r="Q734" s="6"/>
      <c r="R734" s="6"/>
      <c r="S734" s="32"/>
      <c r="T734" s="32"/>
      <c r="U734" s="6"/>
      <c r="W734" s="32"/>
      <c r="X734" s="32"/>
      <c r="Y734" s="32"/>
      <c r="Z734" s="32"/>
      <c r="AA734" s="32"/>
      <c r="AB734" s="32"/>
      <c r="AC734" s="32"/>
      <c r="AD734" s="32"/>
      <c r="AE734" s="32"/>
    </row>
    <row r="735" ht="15.75" customHeight="1"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6"/>
      <c r="P735" s="6"/>
      <c r="Q735" s="6"/>
      <c r="R735" s="6"/>
      <c r="S735" s="32"/>
      <c r="T735" s="32"/>
      <c r="U735" s="6"/>
      <c r="W735" s="32"/>
      <c r="X735" s="32"/>
      <c r="Y735" s="32"/>
      <c r="Z735" s="32"/>
      <c r="AA735" s="32"/>
      <c r="AB735" s="32"/>
      <c r="AC735" s="32"/>
      <c r="AD735" s="32"/>
      <c r="AE735" s="32"/>
    </row>
    <row r="736" ht="15.75" customHeight="1"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6"/>
      <c r="P736" s="6"/>
      <c r="Q736" s="6"/>
      <c r="R736" s="6"/>
      <c r="S736" s="32"/>
      <c r="T736" s="32"/>
      <c r="U736" s="6"/>
      <c r="W736" s="32"/>
      <c r="X736" s="32"/>
      <c r="Y736" s="32"/>
      <c r="Z736" s="32"/>
      <c r="AA736" s="32"/>
      <c r="AB736" s="32"/>
      <c r="AC736" s="32"/>
      <c r="AD736" s="32"/>
      <c r="AE736" s="32"/>
    </row>
    <row r="737" ht="15.75" customHeight="1"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6"/>
      <c r="P737" s="6"/>
      <c r="Q737" s="6"/>
      <c r="R737" s="6"/>
      <c r="S737" s="32"/>
      <c r="T737" s="32"/>
      <c r="U737" s="6"/>
      <c r="W737" s="32"/>
      <c r="X737" s="32"/>
      <c r="Y737" s="32"/>
      <c r="Z737" s="32"/>
      <c r="AA737" s="32"/>
      <c r="AB737" s="32"/>
      <c r="AC737" s="32"/>
      <c r="AD737" s="32"/>
      <c r="AE737" s="32"/>
    </row>
    <row r="738" ht="15.75" customHeight="1"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6"/>
      <c r="P738" s="6"/>
      <c r="Q738" s="6"/>
      <c r="R738" s="6"/>
      <c r="S738" s="32"/>
      <c r="T738" s="32"/>
      <c r="U738" s="6"/>
      <c r="W738" s="32"/>
      <c r="X738" s="32"/>
      <c r="Y738" s="32"/>
      <c r="Z738" s="32"/>
      <c r="AA738" s="32"/>
      <c r="AB738" s="32"/>
      <c r="AC738" s="32"/>
      <c r="AD738" s="32"/>
      <c r="AE738" s="32"/>
    </row>
    <row r="739" ht="15.75" customHeight="1"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6"/>
      <c r="P739" s="6"/>
      <c r="Q739" s="6"/>
      <c r="R739" s="6"/>
      <c r="S739" s="32"/>
      <c r="T739" s="32"/>
      <c r="U739" s="6"/>
      <c r="W739" s="32"/>
      <c r="X739" s="32"/>
      <c r="Y739" s="32"/>
      <c r="Z739" s="32"/>
      <c r="AA739" s="32"/>
      <c r="AB739" s="32"/>
      <c r="AC739" s="32"/>
      <c r="AD739" s="32"/>
      <c r="AE739" s="32"/>
    </row>
    <row r="740" ht="15.75" customHeight="1"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6"/>
      <c r="P740" s="6"/>
      <c r="Q740" s="6"/>
      <c r="R740" s="6"/>
      <c r="S740" s="32"/>
      <c r="T740" s="32"/>
      <c r="U740" s="6"/>
      <c r="W740" s="32"/>
      <c r="X740" s="32"/>
      <c r="Y740" s="32"/>
      <c r="Z740" s="32"/>
      <c r="AA740" s="32"/>
      <c r="AB740" s="32"/>
      <c r="AC740" s="32"/>
      <c r="AD740" s="32"/>
      <c r="AE740" s="32"/>
    </row>
    <row r="741" ht="15.75" customHeight="1"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6"/>
      <c r="P741" s="6"/>
      <c r="Q741" s="6"/>
      <c r="R741" s="6"/>
      <c r="S741" s="32"/>
      <c r="T741" s="32"/>
      <c r="U741" s="6"/>
      <c r="W741" s="32"/>
      <c r="X741" s="32"/>
      <c r="Y741" s="32"/>
      <c r="Z741" s="32"/>
      <c r="AA741" s="32"/>
      <c r="AB741" s="32"/>
      <c r="AC741" s="32"/>
      <c r="AD741" s="32"/>
      <c r="AE741" s="32"/>
    </row>
    <row r="742" ht="15.75" customHeight="1"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6"/>
      <c r="P742" s="6"/>
      <c r="Q742" s="6"/>
      <c r="R742" s="6"/>
      <c r="S742" s="32"/>
      <c r="T742" s="32"/>
      <c r="U742" s="6"/>
      <c r="W742" s="32"/>
      <c r="X742" s="32"/>
      <c r="Y742" s="32"/>
      <c r="Z742" s="32"/>
      <c r="AA742" s="32"/>
      <c r="AB742" s="32"/>
      <c r="AC742" s="32"/>
      <c r="AD742" s="32"/>
      <c r="AE742" s="32"/>
    </row>
    <row r="743" ht="15.75" customHeight="1"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6"/>
      <c r="P743" s="6"/>
      <c r="Q743" s="6"/>
      <c r="R743" s="6"/>
      <c r="S743" s="32"/>
      <c r="T743" s="32"/>
      <c r="U743" s="6"/>
      <c r="W743" s="32"/>
      <c r="X743" s="32"/>
      <c r="Y743" s="32"/>
      <c r="Z743" s="32"/>
      <c r="AA743" s="32"/>
      <c r="AB743" s="32"/>
      <c r="AC743" s="32"/>
      <c r="AD743" s="32"/>
      <c r="AE743" s="32"/>
    </row>
    <row r="744" ht="15.75" customHeight="1"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6"/>
      <c r="P744" s="6"/>
      <c r="Q744" s="6"/>
      <c r="R744" s="6"/>
      <c r="S744" s="32"/>
      <c r="T744" s="32"/>
      <c r="U744" s="6"/>
      <c r="W744" s="32"/>
      <c r="X744" s="32"/>
      <c r="Y744" s="32"/>
      <c r="Z744" s="32"/>
      <c r="AA744" s="32"/>
      <c r="AB744" s="32"/>
      <c r="AC744" s="32"/>
      <c r="AD744" s="32"/>
      <c r="AE744" s="32"/>
    </row>
    <row r="745" ht="15.75" customHeight="1"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6"/>
      <c r="P745" s="6"/>
      <c r="Q745" s="6"/>
      <c r="R745" s="6"/>
      <c r="S745" s="32"/>
      <c r="T745" s="32"/>
      <c r="U745" s="6"/>
      <c r="W745" s="32"/>
      <c r="X745" s="32"/>
      <c r="Y745" s="32"/>
      <c r="Z745" s="32"/>
      <c r="AA745" s="32"/>
      <c r="AB745" s="32"/>
      <c r="AC745" s="32"/>
      <c r="AD745" s="32"/>
      <c r="AE745" s="32"/>
    </row>
    <row r="746" ht="15.75" customHeight="1"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6"/>
      <c r="P746" s="6"/>
      <c r="Q746" s="6"/>
      <c r="R746" s="6"/>
      <c r="S746" s="32"/>
      <c r="T746" s="32"/>
      <c r="U746" s="6"/>
      <c r="W746" s="32"/>
      <c r="X746" s="32"/>
      <c r="Y746" s="32"/>
      <c r="Z746" s="32"/>
      <c r="AA746" s="32"/>
      <c r="AB746" s="32"/>
      <c r="AC746" s="32"/>
      <c r="AD746" s="32"/>
      <c r="AE746" s="32"/>
    </row>
    <row r="747" ht="15.75" customHeight="1"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6"/>
      <c r="P747" s="6"/>
      <c r="Q747" s="6"/>
      <c r="R747" s="6"/>
      <c r="S747" s="32"/>
      <c r="T747" s="32"/>
      <c r="U747" s="6"/>
      <c r="W747" s="32"/>
      <c r="X747" s="32"/>
      <c r="Y747" s="32"/>
      <c r="Z747" s="32"/>
      <c r="AA747" s="32"/>
      <c r="AB747" s="32"/>
      <c r="AC747" s="32"/>
      <c r="AD747" s="32"/>
      <c r="AE747" s="32"/>
    </row>
    <row r="748" ht="15.75" customHeight="1"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6"/>
      <c r="P748" s="6"/>
      <c r="Q748" s="6"/>
      <c r="R748" s="6"/>
      <c r="S748" s="32"/>
      <c r="T748" s="32"/>
      <c r="U748" s="6"/>
      <c r="W748" s="32"/>
      <c r="X748" s="32"/>
      <c r="Y748" s="32"/>
      <c r="Z748" s="32"/>
      <c r="AA748" s="32"/>
      <c r="AB748" s="32"/>
      <c r="AC748" s="32"/>
      <c r="AD748" s="32"/>
      <c r="AE748" s="32"/>
    </row>
    <row r="749" ht="15.75" customHeight="1"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6"/>
      <c r="P749" s="6"/>
      <c r="Q749" s="6"/>
      <c r="R749" s="6"/>
      <c r="S749" s="32"/>
      <c r="T749" s="32"/>
      <c r="U749" s="6"/>
      <c r="W749" s="32"/>
      <c r="X749" s="32"/>
      <c r="Y749" s="32"/>
      <c r="Z749" s="32"/>
      <c r="AA749" s="32"/>
      <c r="AB749" s="32"/>
      <c r="AC749" s="32"/>
      <c r="AD749" s="32"/>
      <c r="AE749" s="32"/>
    </row>
    <row r="750" ht="15.75" customHeight="1"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6"/>
      <c r="P750" s="6"/>
      <c r="Q750" s="6"/>
      <c r="R750" s="6"/>
      <c r="S750" s="32"/>
      <c r="T750" s="32"/>
      <c r="U750" s="6"/>
      <c r="W750" s="32"/>
      <c r="X750" s="32"/>
      <c r="Y750" s="32"/>
      <c r="Z750" s="32"/>
      <c r="AA750" s="32"/>
      <c r="AB750" s="32"/>
      <c r="AC750" s="32"/>
      <c r="AD750" s="32"/>
      <c r="AE750" s="32"/>
    </row>
    <row r="751" ht="15.75" customHeight="1"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6"/>
      <c r="P751" s="6"/>
      <c r="Q751" s="6"/>
      <c r="R751" s="6"/>
      <c r="S751" s="32"/>
      <c r="T751" s="32"/>
      <c r="U751" s="6"/>
      <c r="W751" s="32"/>
      <c r="X751" s="32"/>
      <c r="Y751" s="32"/>
      <c r="Z751" s="32"/>
      <c r="AA751" s="32"/>
      <c r="AB751" s="32"/>
      <c r="AC751" s="32"/>
      <c r="AD751" s="32"/>
      <c r="AE751" s="32"/>
    </row>
    <row r="752" ht="15.75" customHeight="1"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6"/>
      <c r="P752" s="6"/>
      <c r="Q752" s="6"/>
      <c r="R752" s="6"/>
      <c r="S752" s="32"/>
      <c r="T752" s="32"/>
      <c r="U752" s="6"/>
      <c r="W752" s="32"/>
      <c r="X752" s="32"/>
      <c r="Y752" s="32"/>
      <c r="Z752" s="32"/>
      <c r="AA752" s="32"/>
      <c r="AB752" s="32"/>
      <c r="AC752" s="32"/>
      <c r="AD752" s="32"/>
      <c r="AE752" s="32"/>
    </row>
    <row r="753" ht="15.75" customHeight="1"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6"/>
      <c r="P753" s="6"/>
      <c r="Q753" s="6"/>
      <c r="R753" s="6"/>
      <c r="S753" s="32"/>
      <c r="T753" s="32"/>
      <c r="U753" s="6"/>
      <c r="W753" s="32"/>
      <c r="X753" s="32"/>
      <c r="Y753" s="32"/>
      <c r="Z753" s="32"/>
      <c r="AA753" s="32"/>
      <c r="AB753" s="32"/>
      <c r="AC753" s="32"/>
      <c r="AD753" s="32"/>
      <c r="AE753" s="32"/>
    </row>
    <row r="754" ht="15.75" customHeight="1"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6"/>
      <c r="P754" s="6"/>
      <c r="Q754" s="6"/>
      <c r="R754" s="6"/>
      <c r="S754" s="32"/>
      <c r="T754" s="32"/>
      <c r="U754" s="6"/>
      <c r="W754" s="32"/>
      <c r="X754" s="32"/>
      <c r="Y754" s="32"/>
      <c r="Z754" s="32"/>
      <c r="AA754" s="32"/>
      <c r="AB754" s="32"/>
      <c r="AC754" s="32"/>
      <c r="AD754" s="32"/>
      <c r="AE754" s="32"/>
    </row>
    <row r="755" ht="15.75" customHeight="1"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6"/>
      <c r="P755" s="6"/>
      <c r="Q755" s="6"/>
      <c r="R755" s="6"/>
      <c r="S755" s="32"/>
      <c r="T755" s="32"/>
      <c r="U755" s="6"/>
      <c r="W755" s="32"/>
      <c r="X755" s="32"/>
      <c r="Y755" s="32"/>
      <c r="Z755" s="32"/>
      <c r="AA755" s="32"/>
      <c r="AB755" s="32"/>
      <c r="AC755" s="32"/>
      <c r="AD755" s="32"/>
      <c r="AE755" s="32"/>
    </row>
    <row r="756" ht="15.75" customHeight="1"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6"/>
      <c r="P756" s="6"/>
      <c r="Q756" s="6"/>
      <c r="R756" s="6"/>
      <c r="S756" s="32"/>
      <c r="T756" s="32"/>
      <c r="U756" s="6"/>
      <c r="W756" s="32"/>
      <c r="X756" s="32"/>
      <c r="Y756" s="32"/>
      <c r="Z756" s="32"/>
      <c r="AA756" s="32"/>
      <c r="AB756" s="32"/>
      <c r="AC756" s="32"/>
      <c r="AD756" s="32"/>
      <c r="AE756" s="32"/>
    </row>
    <row r="757" ht="15.75" customHeight="1"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6"/>
      <c r="P757" s="6"/>
      <c r="Q757" s="6"/>
      <c r="R757" s="6"/>
      <c r="S757" s="32"/>
      <c r="T757" s="32"/>
      <c r="U757" s="6"/>
      <c r="W757" s="32"/>
      <c r="X757" s="32"/>
      <c r="Y757" s="32"/>
      <c r="Z757" s="32"/>
      <c r="AA757" s="32"/>
      <c r="AB757" s="32"/>
      <c r="AC757" s="32"/>
      <c r="AD757" s="32"/>
      <c r="AE757" s="32"/>
    </row>
    <row r="758" ht="15.75" customHeight="1"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6"/>
      <c r="P758" s="6"/>
      <c r="Q758" s="6"/>
      <c r="R758" s="6"/>
      <c r="S758" s="32"/>
      <c r="T758" s="32"/>
      <c r="U758" s="6"/>
      <c r="W758" s="32"/>
      <c r="X758" s="32"/>
      <c r="Y758" s="32"/>
      <c r="Z758" s="32"/>
      <c r="AA758" s="32"/>
      <c r="AB758" s="32"/>
      <c r="AC758" s="32"/>
      <c r="AD758" s="32"/>
      <c r="AE758" s="32"/>
    </row>
    <row r="759" ht="15.75" customHeight="1"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6"/>
      <c r="P759" s="6"/>
      <c r="Q759" s="6"/>
      <c r="R759" s="6"/>
      <c r="S759" s="32"/>
      <c r="T759" s="32"/>
      <c r="U759" s="6"/>
      <c r="W759" s="32"/>
      <c r="X759" s="32"/>
      <c r="Y759" s="32"/>
      <c r="Z759" s="32"/>
      <c r="AA759" s="32"/>
      <c r="AB759" s="32"/>
      <c r="AC759" s="32"/>
      <c r="AD759" s="32"/>
      <c r="AE759" s="32"/>
    </row>
    <row r="760" ht="15.75" customHeight="1"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6"/>
      <c r="P760" s="6"/>
      <c r="Q760" s="6"/>
      <c r="R760" s="6"/>
      <c r="S760" s="32"/>
      <c r="T760" s="32"/>
      <c r="U760" s="6"/>
      <c r="W760" s="32"/>
      <c r="X760" s="32"/>
      <c r="Y760" s="32"/>
      <c r="Z760" s="32"/>
      <c r="AA760" s="32"/>
      <c r="AB760" s="32"/>
      <c r="AC760" s="32"/>
      <c r="AD760" s="32"/>
      <c r="AE760" s="32"/>
    </row>
    <row r="761" ht="15.75" customHeight="1"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6"/>
      <c r="P761" s="6"/>
      <c r="Q761" s="6"/>
      <c r="R761" s="6"/>
      <c r="S761" s="32"/>
      <c r="T761" s="32"/>
      <c r="U761" s="6"/>
      <c r="W761" s="32"/>
      <c r="X761" s="32"/>
      <c r="Y761" s="32"/>
      <c r="Z761" s="32"/>
      <c r="AA761" s="32"/>
      <c r="AB761" s="32"/>
      <c r="AC761" s="32"/>
      <c r="AD761" s="32"/>
      <c r="AE761" s="32"/>
    </row>
    <row r="762" ht="15.75" customHeight="1"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6"/>
      <c r="P762" s="6"/>
      <c r="Q762" s="6"/>
      <c r="R762" s="6"/>
      <c r="S762" s="32"/>
      <c r="T762" s="32"/>
      <c r="U762" s="6"/>
      <c r="W762" s="32"/>
      <c r="X762" s="32"/>
      <c r="Y762" s="32"/>
      <c r="Z762" s="32"/>
      <c r="AA762" s="32"/>
      <c r="AB762" s="32"/>
      <c r="AC762" s="32"/>
      <c r="AD762" s="32"/>
      <c r="AE762" s="32"/>
    </row>
    <row r="763" ht="15.75" customHeight="1"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6"/>
      <c r="P763" s="6"/>
      <c r="Q763" s="6"/>
      <c r="R763" s="6"/>
      <c r="S763" s="32"/>
      <c r="T763" s="32"/>
      <c r="U763" s="6"/>
      <c r="W763" s="32"/>
      <c r="X763" s="32"/>
      <c r="Y763" s="32"/>
      <c r="Z763" s="32"/>
      <c r="AA763" s="32"/>
      <c r="AB763" s="32"/>
      <c r="AC763" s="32"/>
      <c r="AD763" s="32"/>
      <c r="AE763" s="32"/>
    </row>
    <row r="764" ht="15.75" customHeight="1"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6"/>
      <c r="P764" s="6"/>
      <c r="Q764" s="6"/>
      <c r="R764" s="6"/>
      <c r="S764" s="32"/>
      <c r="T764" s="32"/>
      <c r="U764" s="6"/>
      <c r="W764" s="32"/>
      <c r="X764" s="32"/>
      <c r="Y764" s="32"/>
      <c r="Z764" s="32"/>
      <c r="AA764" s="32"/>
      <c r="AB764" s="32"/>
      <c r="AC764" s="32"/>
      <c r="AD764" s="32"/>
      <c r="AE764" s="32"/>
    </row>
    <row r="765" ht="15.75" customHeight="1"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6"/>
      <c r="P765" s="6"/>
      <c r="Q765" s="6"/>
      <c r="R765" s="6"/>
      <c r="S765" s="32"/>
      <c r="T765" s="32"/>
      <c r="U765" s="6"/>
      <c r="W765" s="32"/>
      <c r="X765" s="32"/>
      <c r="Y765" s="32"/>
      <c r="Z765" s="32"/>
      <c r="AA765" s="32"/>
      <c r="AB765" s="32"/>
      <c r="AC765" s="32"/>
      <c r="AD765" s="32"/>
      <c r="AE765" s="32"/>
    </row>
    <row r="766" ht="15.75" customHeight="1"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6"/>
      <c r="P766" s="6"/>
      <c r="Q766" s="6"/>
      <c r="R766" s="6"/>
      <c r="S766" s="32"/>
      <c r="T766" s="32"/>
      <c r="U766" s="6"/>
      <c r="W766" s="32"/>
      <c r="X766" s="32"/>
      <c r="Y766" s="32"/>
      <c r="Z766" s="32"/>
      <c r="AA766" s="32"/>
      <c r="AB766" s="32"/>
      <c r="AC766" s="32"/>
      <c r="AD766" s="32"/>
      <c r="AE766" s="32"/>
    </row>
    <row r="767" ht="15.75" customHeight="1"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6"/>
      <c r="P767" s="6"/>
      <c r="Q767" s="6"/>
      <c r="R767" s="6"/>
      <c r="S767" s="32"/>
      <c r="T767" s="32"/>
      <c r="U767" s="6"/>
      <c r="W767" s="32"/>
      <c r="X767" s="32"/>
      <c r="Y767" s="32"/>
      <c r="Z767" s="32"/>
      <c r="AA767" s="32"/>
      <c r="AB767" s="32"/>
      <c r="AC767" s="32"/>
      <c r="AD767" s="32"/>
      <c r="AE767" s="32"/>
    </row>
    <row r="768" ht="15.75" customHeight="1"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6"/>
      <c r="P768" s="6"/>
      <c r="Q768" s="6"/>
      <c r="R768" s="6"/>
      <c r="S768" s="32"/>
      <c r="T768" s="32"/>
      <c r="U768" s="6"/>
      <c r="W768" s="32"/>
      <c r="X768" s="32"/>
      <c r="Y768" s="32"/>
      <c r="Z768" s="32"/>
      <c r="AA768" s="32"/>
      <c r="AB768" s="32"/>
      <c r="AC768" s="32"/>
      <c r="AD768" s="32"/>
      <c r="AE768" s="32"/>
    </row>
    <row r="769" ht="15.75" customHeight="1"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6"/>
      <c r="P769" s="6"/>
      <c r="Q769" s="6"/>
      <c r="R769" s="6"/>
      <c r="S769" s="32"/>
      <c r="T769" s="32"/>
      <c r="U769" s="6"/>
      <c r="W769" s="32"/>
      <c r="X769" s="32"/>
      <c r="Y769" s="32"/>
      <c r="Z769" s="32"/>
      <c r="AA769" s="32"/>
      <c r="AB769" s="32"/>
      <c r="AC769" s="32"/>
      <c r="AD769" s="32"/>
      <c r="AE769" s="32"/>
    </row>
    <row r="770" ht="15.75" customHeight="1"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6"/>
      <c r="P770" s="6"/>
      <c r="Q770" s="6"/>
      <c r="R770" s="6"/>
      <c r="S770" s="32"/>
      <c r="T770" s="32"/>
      <c r="U770" s="6"/>
      <c r="W770" s="32"/>
      <c r="X770" s="32"/>
      <c r="Y770" s="32"/>
      <c r="Z770" s="32"/>
      <c r="AA770" s="32"/>
      <c r="AB770" s="32"/>
      <c r="AC770" s="32"/>
      <c r="AD770" s="32"/>
      <c r="AE770" s="32"/>
    </row>
    <row r="771" ht="15.75" customHeight="1"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6"/>
      <c r="P771" s="6"/>
      <c r="Q771" s="6"/>
      <c r="R771" s="6"/>
      <c r="S771" s="32"/>
      <c r="T771" s="32"/>
      <c r="U771" s="6"/>
      <c r="W771" s="32"/>
      <c r="X771" s="32"/>
      <c r="Y771" s="32"/>
      <c r="Z771" s="32"/>
      <c r="AA771" s="32"/>
      <c r="AB771" s="32"/>
      <c r="AC771" s="32"/>
      <c r="AD771" s="32"/>
      <c r="AE771" s="32"/>
    </row>
    <row r="772" ht="15.75" customHeight="1"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6"/>
      <c r="P772" s="6"/>
      <c r="Q772" s="6"/>
      <c r="R772" s="6"/>
      <c r="S772" s="32"/>
      <c r="T772" s="32"/>
      <c r="U772" s="6"/>
      <c r="W772" s="32"/>
      <c r="X772" s="32"/>
      <c r="Y772" s="32"/>
      <c r="Z772" s="32"/>
      <c r="AA772" s="32"/>
      <c r="AB772" s="32"/>
      <c r="AC772" s="32"/>
      <c r="AD772" s="32"/>
      <c r="AE772" s="32"/>
    </row>
    <row r="773" ht="15.75" customHeight="1"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6"/>
      <c r="P773" s="6"/>
      <c r="Q773" s="6"/>
      <c r="R773" s="6"/>
      <c r="S773" s="32"/>
      <c r="T773" s="32"/>
      <c r="U773" s="6"/>
      <c r="W773" s="32"/>
      <c r="X773" s="32"/>
      <c r="Y773" s="32"/>
      <c r="Z773" s="32"/>
      <c r="AA773" s="32"/>
      <c r="AB773" s="32"/>
      <c r="AC773" s="32"/>
      <c r="AD773" s="32"/>
      <c r="AE773" s="32"/>
    </row>
    <row r="774" ht="15.75" customHeight="1"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6"/>
      <c r="P774" s="6"/>
      <c r="Q774" s="6"/>
      <c r="R774" s="6"/>
      <c r="S774" s="32"/>
      <c r="T774" s="32"/>
      <c r="U774" s="6"/>
      <c r="W774" s="32"/>
      <c r="X774" s="32"/>
      <c r="Y774" s="32"/>
      <c r="Z774" s="32"/>
      <c r="AA774" s="32"/>
      <c r="AB774" s="32"/>
      <c r="AC774" s="32"/>
      <c r="AD774" s="32"/>
      <c r="AE774" s="32"/>
    </row>
    <row r="775" ht="15.75" customHeight="1"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6"/>
      <c r="P775" s="6"/>
      <c r="Q775" s="6"/>
      <c r="R775" s="6"/>
      <c r="S775" s="32"/>
      <c r="T775" s="32"/>
      <c r="U775" s="6"/>
      <c r="W775" s="32"/>
      <c r="X775" s="32"/>
      <c r="Y775" s="32"/>
      <c r="Z775" s="32"/>
      <c r="AA775" s="32"/>
      <c r="AB775" s="32"/>
      <c r="AC775" s="32"/>
      <c r="AD775" s="32"/>
      <c r="AE775" s="32"/>
    </row>
    <row r="776" ht="15.75" customHeight="1"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6"/>
      <c r="P776" s="6"/>
      <c r="Q776" s="6"/>
      <c r="R776" s="6"/>
      <c r="S776" s="32"/>
      <c r="T776" s="32"/>
      <c r="U776" s="6"/>
      <c r="W776" s="32"/>
      <c r="X776" s="32"/>
      <c r="Y776" s="32"/>
      <c r="Z776" s="32"/>
      <c r="AA776" s="32"/>
      <c r="AB776" s="32"/>
      <c r="AC776" s="32"/>
      <c r="AD776" s="32"/>
      <c r="AE776" s="32"/>
    </row>
    <row r="777" ht="15.75" customHeight="1"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6"/>
      <c r="P777" s="6"/>
      <c r="Q777" s="6"/>
      <c r="R777" s="6"/>
      <c r="S777" s="32"/>
      <c r="T777" s="32"/>
      <c r="U777" s="6"/>
      <c r="W777" s="32"/>
      <c r="X777" s="32"/>
      <c r="Y777" s="32"/>
      <c r="Z777" s="32"/>
      <c r="AA777" s="32"/>
      <c r="AB777" s="32"/>
      <c r="AC777" s="32"/>
      <c r="AD777" s="32"/>
      <c r="AE777" s="32"/>
    </row>
    <row r="778" ht="15.75" customHeight="1"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6"/>
      <c r="P778" s="6"/>
      <c r="Q778" s="6"/>
      <c r="R778" s="6"/>
      <c r="S778" s="32"/>
      <c r="T778" s="32"/>
      <c r="U778" s="6"/>
      <c r="W778" s="32"/>
      <c r="X778" s="32"/>
      <c r="Y778" s="32"/>
      <c r="Z778" s="32"/>
      <c r="AA778" s="32"/>
      <c r="AB778" s="32"/>
      <c r="AC778" s="32"/>
      <c r="AD778" s="32"/>
      <c r="AE778" s="32"/>
    </row>
    <row r="779" ht="15.75" customHeight="1"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6"/>
      <c r="P779" s="6"/>
      <c r="Q779" s="6"/>
      <c r="R779" s="6"/>
      <c r="S779" s="32"/>
      <c r="T779" s="32"/>
      <c r="U779" s="6"/>
      <c r="W779" s="32"/>
      <c r="X779" s="32"/>
      <c r="Y779" s="32"/>
      <c r="Z779" s="32"/>
      <c r="AA779" s="32"/>
      <c r="AB779" s="32"/>
      <c r="AC779" s="32"/>
      <c r="AD779" s="32"/>
      <c r="AE779" s="32"/>
    </row>
    <row r="780" ht="15.75" customHeight="1"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6"/>
      <c r="P780" s="6"/>
      <c r="Q780" s="6"/>
      <c r="R780" s="6"/>
      <c r="S780" s="32"/>
      <c r="T780" s="32"/>
      <c r="U780" s="6"/>
      <c r="W780" s="32"/>
      <c r="X780" s="32"/>
      <c r="Y780" s="32"/>
      <c r="Z780" s="32"/>
      <c r="AA780" s="32"/>
      <c r="AB780" s="32"/>
      <c r="AC780" s="32"/>
      <c r="AD780" s="32"/>
      <c r="AE780" s="32"/>
    </row>
    <row r="781" ht="15.75" customHeight="1"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6"/>
      <c r="P781" s="6"/>
      <c r="Q781" s="6"/>
      <c r="R781" s="6"/>
      <c r="S781" s="32"/>
      <c r="T781" s="32"/>
      <c r="U781" s="6"/>
      <c r="W781" s="32"/>
      <c r="X781" s="32"/>
      <c r="Y781" s="32"/>
      <c r="Z781" s="32"/>
      <c r="AA781" s="32"/>
      <c r="AB781" s="32"/>
      <c r="AC781" s="32"/>
      <c r="AD781" s="32"/>
      <c r="AE781" s="32"/>
    </row>
    <row r="782" ht="15.75" customHeight="1"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6"/>
      <c r="P782" s="6"/>
      <c r="Q782" s="6"/>
      <c r="R782" s="6"/>
      <c r="S782" s="32"/>
      <c r="T782" s="32"/>
      <c r="U782" s="6"/>
      <c r="W782" s="32"/>
      <c r="X782" s="32"/>
      <c r="Y782" s="32"/>
      <c r="Z782" s="32"/>
      <c r="AA782" s="32"/>
      <c r="AB782" s="32"/>
      <c r="AC782" s="32"/>
      <c r="AD782" s="32"/>
      <c r="AE782" s="32"/>
    </row>
    <row r="783" ht="15.75" customHeight="1"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6"/>
      <c r="P783" s="6"/>
      <c r="Q783" s="6"/>
      <c r="R783" s="6"/>
      <c r="S783" s="32"/>
      <c r="T783" s="32"/>
      <c r="U783" s="6"/>
      <c r="W783" s="32"/>
      <c r="X783" s="32"/>
      <c r="Y783" s="32"/>
      <c r="Z783" s="32"/>
      <c r="AA783" s="32"/>
      <c r="AB783" s="32"/>
      <c r="AC783" s="32"/>
      <c r="AD783" s="32"/>
      <c r="AE783" s="32"/>
    </row>
    <row r="784" ht="15.75" customHeight="1"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6"/>
      <c r="P784" s="6"/>
      <c r="Q784" s="6"/>
      <c r="R784" s="6"/>
      <c r="S784" s="32"/>
      <c r="T784" s="32"/>
      <c r="U784" s="6"/>
      <c r="W784" s="32"/>
      <c r="X784" s="32"/>
      <c r="Y784" s="32"/>
      <c r="Z784" s="32"/>
      <c r="AA784" s="32"/>
      <c r="AB784" s="32"/>
      <c r="AC784" s="32"/>
      <c r="AD784" s="32"/>
      <c r="AE784" s="32"/>
    </row>
    <row r="785" ht="15.75" customHeight="1"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6"/>
      <c r="P785" s="6"/>
      <c r="Q785" s="6"/>
      <c r="R785" s="6"/>
      <c r="S785" s="32"/>
      <c r="T785" s="32"/>
      <c r="U785" s="6"/>
      <c r="W785" s="32"/>
      <c r="X785" s="32"/>
      <c r="Y785" s="32"/>
      <c r="Z785" s="32"/>
      <c r="AA785" s="32"/>
      <c r="AB785" s="32"/>
      <c r="AC785" s="32"/>
      <c r="AD785" s="32"/>
      <c r="AE785" s="32"/>
    </row>
    <row r="786" ht="15.75" customHeight="1"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6"/>
      <c r="P786" s="6"/>
      <c r="Q786" s="6"/>
      <c r="R786" s="6"/>
      <c r="S786" s="32"/>
      <c r="T786" s="32"/>
      <c r="U786" s="6"/>
      <c r="W786" s="32"/>
      <c r="X786" s="32"/>
      <c r="Y786" s="32"/>
      <c r="Z786" s="32"/>
      <c r="AA786" s="32"/>
      <c r="AB786" s="32"/>
      <c r="AC786" s="32"/>
      <c r="AD786" s="32"/>
      <c r="AE786" s="32"/>
    </row>
    <row r="787" ht="15.75" customHeight="1"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6"/>
      <c r="P787" s="6"/>
      <c r="Q787" s="6"/>
      <c r="R787" s="6"/>
      <c r="S787" s="32"/>
      <c r="T787" s="32"/>
      <c r="U787" s="6"/>
      <c r="W787" s="32"/>
      <c r="X787" s="32"/>
      <c r="Y787" s="32"/>
      <c r="Z787" s="32"/>
      <c r="AA787" s="32"/>
      <c r="AB787" s="32"/>
      <c r="AC787" s="32"/>
      <c r="AD787" s="32"/>
      <c r="AE787" s="32"/>
    </row>
    <row r="788" ht="15.75" customHeight="1"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6"/>
      <c r="P788" s="6"/>
      <c r="Q788" s="6"/>
      <c r="R788" s="6"/>
      <c r="S788" s="32"/>
      <c r="T788" s="32"/>
      <c r="U788" s="6"/>
      <c r="W788" s="32"/>
      <c r="X788" s="32"/>
      <c r="Y788" s="32"/>
      <c r="Z788" s="32"/>
      <c r="AA788" s="32"/>
      <c r="AB788" s="32"/>
      <c r="AC788" s="32"/>
      <c r="AD788" s="32"/>
      <c r="AE788" s="32"/>
    </row>
    <row r="789" ht="15.75" customHeight="1"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6"/>
      <c r="P789" s="6"/>
      <c r="Q789" s="6"/>
      <c r="R789" s="6"/>
      <c r="S789" s="32"/>
      <c r="T789" s="32"/>
      <c r="U789" s="6"/>
      <c r="W789" s="32"/>
      <c r="X789" s="32"/>
      <c r="Y789" s="32"/>
      <c r="Z789" s="32"/>
      <c r="AA789" s="32"/>
      <c r="AB789" s="32"/>
      <c r="AC789" s="32"/>
      <c r="AD789" s="32"/>
      <c r="AE789" s="32"/>
    </row>
    <row r="790" ht="15.75" customHeight="1"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6"/>
      <c r="P790" s="6"/>
      <c r="Q790" s="6"/>
      <c r="R790" s="6"/>
      <c r="S790" s="32"/>
      <c r="T790" s="32"/>
      <c r="U790" s="6"/>
      <c r="W790" s="32"/>
      <c r="X790" s="32"/>
      <c r="Y790" s="32"/>
      <c r="Z790" s="32"/>
      <c r="AA790" s="32"/>
      <c r="AB790" s="32"/>
      <c r="AC790" s="32"/>
      <c r="AD790" s="32"/>
      <c r="AE790" s="32"/>
    </row>
    <row r="791" ht="15.75" customHeight="1"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6"/>
      <c r="P791" s="6"/>
      <c r="Q791" s="6"/>
      <c r="R791" s="6"/>
      <c r="S791" s="32"/>
      <c r="T791" s="32"/>
      <c r="U791" s="6"/>
      <c r="W791" s="32"/>
      <c r="X791" s="32"/>
      <c r="Y791" s="32"/>
      <c r="Z791" s="32"/>
      <c r="AA791" s="32"/>
      <c r="AB791" s="32"/>
      <c r="AC791" s="32"/>
      <c r="AD791" s="32"/>
      <c r="AE791" s="32"/>
    </row>
    <row r="792" ht="15.75" customHeight="1"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6"/>
      <c r="P792" s="6"/>
      <c r="Q792" s="6"/>
      <c r="R792" s="6"/>
      <c r="S792" s="32"/>
      <c r="T792" s="32"/>
      <c r="U792" s="6"/>
      <c r="W792" s="32"/>
      <c r="X792" s="32"/>
      <c r="Y792" s="32"/>
      <c r="Z792" s="32"/>
      <c r="AA792" s="32"/>
      <c r="AB792" s="32"/>
      <c r="AC792" s="32"/>
      <c r="AD792" s="32"/>
      <c r="AE792" s="32"/>
    </row>
    <row r="793" ht="15.75" customHeight="1"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6"/>
      <c r="P793" s="6"/>
      <c r="Q793" s="6"/>
      <c r="R793" s="6"/>
      <c r="S793" s="32"/>
      <c r="T793" s="32"/>
      <c r="U793" s="6"/>
      <c r="W793" s="32"/>
      <c r="X793" s="32"/>
      <c r="Y793" s="32"/>
      <c r="Z793" s="32"/>
      <c r="AA793" s="32"/>
      <c r="AB793" s="32"/>
      <c r="AC793" s="32"/>
      <c r="AD793" s="32"/>
      <c r="AE793" s="32"/>
    </row>
    <row r="794" ht="15.75" customHeight="1"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6"/>
      <c r="P794" s="6"/>
      <c r="Q794" s="6"/>
      <c r="R794" s="6"/>
      <c r="S794" s="32"/>
      <c r="T794" s="32"/>
      <c r="U794" s="6"/>
      <c r="W794" s="32"/>
      <c r="X794" s="32"/>
      <c r="Y794" s="32"/>
      <c r="Z794" s="32"/>
      <c r="AA794" s="32"/>
      <c r="AB794" s="32"/>
      <c r="AC794" s="32"/>
      <c r="AD794" s="32"/>
      <c r="AE794" s="32"/>
    </row>
    <row r="795" ht="15.75" customHeight="1"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6"/>
      <c r="P795" s="6"/>
      <c r="Q795" s="6"/>
      <c r="R795" s="6"/>
      <c r="S795" s="32"/>
      <c r="T795" s="32"/>
      <c r="U795" s="6"/>
      <c r="W795" s="32"/>
      <c r="X795" s="32"/>
      <c r="Y795" s="32"/>
      <c r="Z795" s="32"/>
      <c r="AA795" s="32"/>
      <c r="AB795" s="32"/>
      <c r="AC795" s="32"/>
      <c r="AD795" s="32"/>
      <c r="AE795" s="32"/>
    </row>
    <row r="796" ht="15.75" customHeight="1"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6"/>
      <c r="P796" s="6"/>
      <c r="Q796" s="6"/>
      <c r="R796" s="6"/>
      <c r="S796" s="32"/>
      <c r="T796" s="32"/>
      <c r="U796" s="6"/>
      <c r="W796" s="32"/>
      <c r="X796" s="32"/>
      <c r="Y796" s="32"/>
      <c r="Z796" s="32"/>
      <c r="AA796" s="32"/>
      <c r="AB796" s="32"/>
      <c r="AC796" s="32"/>
      <c r="AD796" s="32"/>
      <c r="AE796" s="32"/>
    </row>
    <row r="797" ht="15.75" customHeight="1"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6"/>
      <c r="P797" s="6"/>
      <c r="Q797" s="6"/>
      <c r="R797" s="6"/>
      <c r="S797" s="32"/>
      <c r="T797" s="32"/>
      <c r="U797" s="6"/>
      <c r="W797" s="32"/>
      <c r="X797" s="32"/>
      <c r="Y797" s="32"/>
      <c r="Z797" s="32"/>
      <c r="AA797" s="32"/>
      <c r="AB797" s="32"/>
      <c r="AC797" s="32"/>
      <c r="AD797" s="32"/>
      <c r="AE797" s="32"/>
    </row>
    <row r="798" ht="15.75" customHeight="1"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6"/>
      <c r="P798" s="6"/>
      <c r="Q798" s="6"/>
      <c r="R798" s="6"/>
      <c r="S798" s="32"/>
      <c r="T798" s="32"/>
      <c r="U798" s="6"/>
      <c r="W798" s="32"/>
      <c r="X798" s="32"/>
      <c r="Y798" s="32"/>
      <c r="Z798" s="32"/>
      <c r="AA798" s="32"/>
      <c r="AB798" s="32"/>
      <c r="AC798" s="32"/>
      <c r="AD798" s="32"/>
      <c r="AE798" s="32"/>
    </row>
    <row r="799" ht="15.75" customHeight="1"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6"/>
      <c r="P799" s="6"/>
      <c r="Q799" s="6"/>
      <c r="R799" s="6"/>
      <c r="S799" s="32"/>
      <c r="T799" s="32"/>
      <c r="U799" s="6"/>
      <c r="W799" s="32"/>
      <c r="X799" s="32"/>
      <c r="Y799" s="32"/>
      <c r="Z799" s="32"/>
      <c r="AA799" s="32"/>
      <c r="AB799" s="32"/>
      <c r="AC799" s="32"/>
      <c r="AD799" s="32"/>
      <c r="AE799" s="32"/>
    </row>
    <row r="800" ht="15.75" customHeight="1"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6"/>
      <c r="P800" s="6"/>
      <c r="Q800" s="6"/>
      <c r="R800" s="6"/>
      <c r="S800" s="32"/>
      <c r="T800" s="32"/>
      <c r="U800" s="6"/>
      <c r="W800" s="32"/>
      <c r="X800" s="32"/>
      <c r="Y800" s="32"/>
      <c r="Z800" s="32"/>
      <c r="AA800" s="32"/>
      <c r="AB800" s="32"/>
      <c r="AC800" s="32"/>
      <c r="AD800" s="32"/>
      <c r="AE800" s="32"/>
    </row>
    <row r="801" ht="15.75" customHeight="1"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6"/>
      <c r="P801" s="6"/>
      <c r="Q801" s="6"/>
      <c r="R801" s="6"/>
      <c r="S801" s="32"/>
      <c r="T801" s="32"/>
      <c r="U801" s="6"/>
      <c r="W801" s="32"/>
      <c r="X801" s="32"/>
      <c r="Y801" s="32"/>
      <c r="Z801" s="32"/>
      <c r="AA801" s="32"/>
      <c r="AB801" s="32"/>
      <c r="AC801" s="32"/>
      <c r="AD801" s="32"/>
      <c r="AE801" s="32"/>
    </row>
    <row r="802" ht="15.75" customHeight="1"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6"/>
      <c r="P802" s="6"/>
      <c r="Q802" s="6"/>
      <c r="R802" s="6"/>
      <c r="S802" s="32"/>
      <c r="T802" s="32"/>
      <c r="U802" s="6"/>
      <c r="W802" s="32"/>
      <c r="X802" s="32"/>
      <c r="Y802" s="32"/>
      <c r="Z802" s="32"/>
      <c r="AA802" s="32"/>
      <c r="AB802" s="32"/>
      <c r="AC802" s="32"/>
      <c r="AD802" s="32"/>
      <c r="AE802" s="32"/>
    </row>
    <row r="803" ht="15.75" customHeight="1"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6"/>
      <c r="P803" s="6"/>
      <c r="Q803" s="6"/>
      <c r="R803" s="6"/>
      <c r="S803" s="32"/>
      <c r="T803" s="32"/>
      <c r="U803" s="6"/>
      <c r="W803" s="32"/>
      <c r="X803" s="32"/>
      <c r="Y803" s="32"/>
      <c r="Z803" s="32"/>
      <c r="AA803" s="32"/>
      <c r="AB803" s="32"/>
      <c r="AC803" s="32"/>
      <c r="AD803" s="32"/>
      <c r="AE803" s="32"/>
    </row>
    <row r="804" ht="15.75" customHeight="1"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6"/>
      <c r="P804" s="6"/>
      <c r="Q804" s="6"/>
      <c r="R804" s="6"/>
      <c r="S804" s="32"/>
      <c r="T804" s="32"/>
      <c r="U804" s="6"/>
      <c r="W804" s="32"/>
      <c r="X804" s="32"/>
      <c r="Y804" s="32"/>
      <c r="Z804" s="32"/>
      <c r="AA804" s="32"/>
      <c r="AB804" s="32"/>
      <c r="AC804" s="32"/>
      <c r="AD804" s="32"/>
      <c r="AE804" s="32"/>
    </row>
    <row r="805" ht="15.75" customHeight="1"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6"/>
      <c r="P805" s="6"/>
      <c r="Q805" s="6"/>
      <c r="R805" s="6"/>
      <c r="S805" s="32"/>
      <c r="T805" s="32"/>
      <c r="U805" s="6"/>
      <c r="W805" s="32"/>
      <c r="X805" s="32"/>
      <c r="Y805" s="32"/>
      <c r="Z805" s="32"/>
      <c r="AA805" s="32"/>
      <c r="AB805" s="32"/>
      <c r="AC805" s="32"/>
      <c r="AD805" s="32"/>
      <c r="AE805" s="32"/>
    </row>
    <row r="806" ht="15.75" customHeight="1"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6"/>
      <c r="P806" s="6"/>
      <c r="Q806" s="6"/>
      <c r="R806" s="6"/>
      <c r="S806" s="32"/>
      <c r="T806" s="32"/>
      <c r="U806" s="6"/>
      <c r="W806" s="32"/>
      <c r="X806" s="32"/>
      <c r="Y806" s="32"/>
      <c r="Z806" s="32"/>
      <c r="AA806" s="32"/>
      <c r="AB806" s="32"/>
      <c r="AC806" s="32"/>
      <c r="AD806" s="32"/>
      <c r="AE806" s="32"/>
    </row>
    <row r="807" ht="15.75" customHeight="1"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6"/>
      <c r="P807" s="6"/>
      <c r="Q807" s="6"/>
      <c r="R807" s="6"/>
      <c r="S807" s="32"/>
      <c r="T807" s="32"/>
      <c r="U807" s="6"/>
      <c r="W807" s="32"/>
      <c r="X807" s="32"/>
      <c r="Y807" s="32"/>
      <c r="Z807" s="32"/>
      <c r="AA807" s="32"/>
      <c r="AB807" s="32"/>
      <c r="AC807" s="32"/>
      <c r="AD807" s="32"/>
      <c r="AE807" s="32"/>
    </row>
    <row r="808" ht="15.75" customHeight="1"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6"/>
      <c r="P808" s="6"/>
      <c r="Q808" s="6"/>
      <c r="R808" s="6"/>
      <c r="S808" s="32"/>
      <c r="T808" s="32"/>
      <c r="U808" s="6"/>
      <c r="W808" s="32"/>
      <c r="X808" s="32"/>
      <c r="Y808" s="32"/>
      <c r="Z808" s="32"/>
      <c r="AA808" s="32"/>
      <c r="AB808" s="32"/>
      <c r="AC808" s="32"/>
      <c r="AD808" s="32"/>
      <c r="AE808" s="32"/>
    </row>
    <row r="809" ht="15.75" customHeight="1"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6"/>
      <c r="P809" s="6"/>
      <c r="Q809" s="6"/>
      <c r="R809" s="6"/>
      <c r="S809" s="32"/>
      <c r="T809" s="32"/>
      <c r="U809" s="6"/>
      <c r="W809" s="32"/>
      <c r="X809" s="32"/>
      <c r="Y809" s="32"/>
      <c r="Z809" s="32"/>
      <c r="AA809" s="32"/>
      <c r="AB809" s="32"/>
      <c r="AC809" s="32"/>
      <c r="AD809" s="32"/>
      <c r="AE809" s="32"/>
    </row>
    <row r="810" ht="15.75" customHeight="1"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6"/>
      <c r="P810" s="6"/>
      <c r="Q810" s="6"/>
      <c r="R810" s="6"/>
      <c r="S810" s="32"/>
      <c r="T810" s="32"/>
      <c r="U810" s="6"/>
      <c r="W810" s="32"/>
      <c r="X810" s="32"/>
      <c r="Y810" s="32"/>
      <c r="Z810" s="32"/>
      <c r="AA810" s="32"/>
      <c r="AB810" s="32"/>
      <c r="AC810" s="32"/>
      <c r="AD810" s="32"/>
      <c r="AE810" s="32"/>
    </row>
    <row r="811" ht="15.75" customHeight="1"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6"/>
      <c r="P811" s="6"/>
      <c r="Q811" s="6"/>
      <c r="R811" s="6"/>
      <c r="S811" s="32"/>
      <c r="T811" s="32"/>
      <c r="U811" s="6"/>
      <c r="W811" s="32"/>
      <c r="X811" s="32"/>
      <c r="Y811" s="32"/>
      <c r="Z811" s="32"/>
      <c r="AA811" s="32"/>
      <c r="AB811" s="32"/>
      <c r="AC811" s="32"/>
      <c r="AD811" s="32"/>
      <c r="AE811" s="32"/>
    </row>
    <row r="812" ht="15.75" customHeight="1"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6"/>
      <c r="P812" s="6"/>
      <c r="Q812" s="6"/>
      <c r="R812" s="6"/>
      <c r="S812" s="32"/>
      <c r="T812" s="32"/>
      <c r="U812" s="6"/>
      <c r="W812" s="32"/>
      <c r="X812" s="32"/>
      <c r="Y812" s="32"/>
      <c r="Z812" s="32"/>
      <c r="AA812" s="32"/>
      <c r="AB812" s="32"/>
      <c r="AC812" s="32"/>
      <c r="AD812" s="32"/>
      <c r="AE812" s="32"/>
    </row>
    <row r="813" ht="15.75" customHeight="1"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6"/>
      <c r="P813" s="6"/>
      <c r="Q813" s="6"/>
      <c r="R813" s="6"/>
      <c r="S813" s="32"/>
      <c r="T813" s="32"/>
      <c r="U813" s="6"/>
      <c r="W813" s="32"/>
      <c r="X813" s="32"/>
      <c r="Y813" s="32"/>
      <c r="Z813" s="32"/>
      <c r="AA813" s="32"/>
      <c r="AB813" s="32"/>
      <c r="AC813" s="32"/>
      <c r="AD813" s="32"/>
      <c r="AE813" s="32"/>
    </row>
    <row r="814" ht="15.75" customHeight="1"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6"/>
      <c r="P814" s="6"/>
      <c r="Q814" s="6"/>
      <c r="R814" s="6"/>
      <c r="S814" s="32"/>
      <c r="T814" s="32"/>
      <c r="U814" s="6"/>
      <c r="W814" s="32"/>
      <c r="X814" s="32"/>
      <c r="Y814" s="32"/>
      <c r="Z814" s="32"/>
      <c r="AA814" s="32"/>
      <c r="AB814" s="32"/>
      <c r="AC814" s="32"/>
      <c r="AD814" s="32"/>
      <c r="AE814" s="32"/>
    </row>
    <row r="815" ht="15.75" customHeight="1"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6"/>
      <c r="P815" s="6"/>
      <c r="Q815" s="6"/>
      <c r="R815" s="6"/>
      <c r="S815" s="32"/>
      <c r="T815" s="32"/>
      <c r="U815" s="6"/>
      <c r="W815" s="32"/>
      <c r="X815" s="32"/>
      <c r="Y815" s="32"/>
      <c r="Z815" s="32"/>
      <c r="AA815" s="32"/>
      <c r="AB815" s="32"/>
      <c r="AC815" s="32"/>
      <c r="AD815" s="32"/>
      <c r="AE815" s="32"/>
    </row>
    <row r="816" ht="15.75" customHeight="1"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6"/>
      <c r="P816" s="6"/>
      <c r="Q816" s="6"/>
      <c r="R816" s="6"/>
      <c r="S816" s="32"/>
      <c r="T816" s="32"/>
      <c r="U816" s="6"/>
      <c r="W816" s="32"/>
      <c r="X816" s="32"/>
      <c r="Y816" s="32"/>
      <c r="Z816" s="32"/>
      <c r="AA816" s="32"/>
      <c r="AB816" s="32"/>
      <c r="AC816" s="32"/>
      <c r="AD816" s="32"/>
      <c r="AE816" s="32"/>
    </row>
    <row r="817" ht="15.75" customHeight="1"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6"/>
      <c r="P817" s="6"/>
      <c r="Q817" s="6"/>
      <c r="R817" s="6"/>
      <c r="S817" s="32"/>
      <c r="T817" s="32"/>
      <c r="U817" s="6"/>
      <c r="W817" s="32"/>
      <c r="X817" s="32"/>
      <c r="Y817" s="32"/>
      <c r="Z817" s="32"/>
      <c r="AA817" s="32"/>
      <c r="AB817" s="32"/>
      <c r="AC817" s="32"/>
      <c r="AD817" s="32"/>
      <c r="AE817" s="32"/>
    </row>
    <row r="818" ht="15.75" customHeight="1"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6"/>
      <c r="P818" s="6"/>
      <c r="Q818" s="6"/>
      <c r="R818" s="6"/>
      <c r="S818" s="32"/>
      <c r="T818" s="32"/>
      <c r="U818" s="6"/>
      <c r="W818" s="32"/>
      <c r="X818" s="32"/>
      <c r="Y818" s="32"/>
      <c r="Z818" s="32"/>
      <c r="AA818" s="32"/>
      <c r="AB818" s="32"/>
      <c r="AC818" s="32"/>
      <c r="AD818" s="32"/>
      <c r="AE818" s="32"/>
    </row>
    <row r="819" ht="15.75" customHeight="1"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6"/>
      <c r="P819" s="6"/>
      <c r="Q819" s="6"/>
      <c r="R819" s="6"/>
      <c r="S819" s="32"/>
      <c r="T819" s="32"/>
      <c r="U819" s="6"/>
      <c r="W819" s="32"/>
      <c r="X819" s="32"/>
      <c r="Y819" s="32"/>
      <c r="Z819" s="32"/>
      <c r="AA819" s="32"/>
      <c r="AB819" s="32"/>
      <c r="AC819" s="32"/>
      <c r="AD819" s="32"/>
      <c r="AE819" s="32"/>
    </row>
    <row r="820" ht="15.75" customHeight="1"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6"/>
      <c r="P820" s="6"/>
      <c r="Q820" s="6"/>
      <c r="R820" s="6"/>
      <c r="S820" s="32"/>
      <c r="T820" s="32"/>
      <c r="U820" s="6"/>
      <c r="W820" s="32"/>
      <c r="X820" s="32"/>
      <c r="Y820" s="32"/>
      <c r="Z820" s="32"/>
      <c r="AA820" s="32"/>
      <c r="AB820" s="32"/>
      <c r="AC820" s="32"/>
      <c r="AD820" s="32"/>
      <c r="AE820" s="32"/>
    </row>
    <row r="821" ht="15.75" customHeight="1"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6"/>
      <c r="P821" s="6"/>
      <c r="Q821" s="6"/>
      <c r="R821" s="6"/>
      <c r="S821" s="32"/>
      <c r="T821" s="32"/>
      <c r="U821" s="6"/>
      <c r="W821" s="32"/>
      <c r="X821" s="32"/>
      <c r="Y821" s="32"/>
      <c r="Z821" s="32"/>
      <c r="AA821" s="32"/>
      <c r="AB821" s="32"/>
      <c r="AC821" s="32"/>
      <c r="AD821" s="32"/>
      <c r="AE821" s="32"/>
    </row>
    <row r="822" ht="15.75" customHeight="1"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6"/>
      <c r="P822" s="6"/>
      <c r="Q822" s="6"/>
      <c r="R822" s="6"/>
      <c r="S822" s="32"/>
      <c r="T822" s="32"/>
      <c r="U822" s="6"/>
      <c r="W822" s="32"/>
      <c r="X822" s="32"/>
      <c r="Y822" s="32"/>
      <c r="Z822" s="32"/>
      <c r="AA822" s="32"/>
      <c r="AB822" s="32"/>
      <c r="AC822" s="32"/>
      <c r="AD822" s="32"/>
      <c r="AE822" s="32"/>
    </row>
    <row r="823" ht="15.75" customHeight="1"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6"/>
      <c r="P823" s="6"/>
      <c r="Q823" s="6"/>
      <c r="R823" s="6"/>
      <c r="S823" s="32"/>
      <c r="T823" s="32"/>
      <c r="U823" s="6"/>
      <c r="W823" s="32"/>
      <c r="X823" s="32"/>
      <c r="Y823" s="32"/>
      <c r="Z823" s="32"/>
      <c r="AA823" s="32"/>
      <c r="AB823" s="32"/>
      <c r="AC823" s="32"/>
      <c r="AD823" s="32"/>
      <c r="AE823" s="32"/>
    </row>
    <row r="824" ht="15.75" customHeight="1"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6"/>
      <c r="P824" s="6"/>
      <c r="Q824" s="6"/>
      <c r="R824" s="6"/>
      <c r="S824" s="32"/>
      <c r="T824" s="32"/>
      <c r="U824" s="6"/>
      <c r="W824" s="32"/>
      <c r="X824" s="32"/>
      <c r="Y824" s="32"/>
      <c r="Z824" s="32"/>
      <c r="AA824" s="32"/>
      <c r="AB824" s="32"/>
      <c r="AC824" s="32"/>
      <c r="AD824" s="32"/>
      <c r="AE824" s="32"/>
    </row>
    <row r="825" ht="15.75" customHeight="1"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6"/>
      <c r="P825" s="6"/>
      <c r="Q825" s="6"/>
      <c r="R825" s="6"/>
      <c r="S825" s="32"/>
      <c r="T825" s="32"/>
      <c r="U825" s="6"/>
      <c r="W825" s="32"/>
      <c r="X825" s="32"/>
      <c r="Y825" s="32"/>
      <c r="Z825" s="32"/>
      <c r="AA825" s="32"/>
      <c r="AB825" s="32"/>
      <c r="AC825" s="32"/>
      <c r="AD825" s="32"/>
      <c r="AE825" s="32"/>
    </row>
    <row r="826" ht="15.75" customHeight="1"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6"/>
      <c r="P826" s="6"/>
      <c r="Q826" s="6"/>
      <c r="R826" s="6"/>
      <c r="S826" s="32"/>
      <c r="T826" s="32"/>
      <c r="U826" s="6"/>
      <c r="W826" s="32"/>
      <c r="X826" s="32"/>
      <c r="Y826" s="32"/>
      <c r="Z826" s="32"/>
      <c r="AA826" s="32"/>
      <c r="AB826" s="32"/>
      <c r="AC826" s="32"/>
      <c r="AD826" s="32"/>
      <c r="AE826" s="32"/>
    </row>
    <row r="827" ht="15.75" customHeight="1"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6"/>
      <c r="P827" s="6"/>
      <c r="Q827" s="6"/>
      <c r="R827" s="6"/>
      <c r="S827" s="32"/>
      <c r="T827" s="32"/>
      <c r="U827" s="6"/>
      <c r="W827" s="32"/>
      <c r="X827" s="32"/>
      <c r="Y827" s="32"/>
      <c r="Z827" s="32"/>
      <c r="AA827" s="32"/>
      <c r="AB827" s="32"/>
      <c r="AC827" s="32"/>
      <c r="AD827" s="32"/>
      <c r="AE827" s="32"/>
    </row>
    <row r="828" ht="15.75" customHeight="1"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6"/>
      <c r="P828" s="6"/>
      <c r="Q828" s="6"/>
      <c r="R828" s="6"/>
      <c r="S828" s="32"/>
      <c r="T828" s="32"/>
      <c r="U828" s="6"/>
      <c r="W828" s="32"/>
      <c r="X828" s="32"/>
      <c r="Y828" s="32"/>
      <c r="Z828" s="32"/>
      <c r="AA828" s="32"/>
      <c r="AB828" s="32"/>
      <c r="AC828" s="32"/>
      <c r="AD828" s="32"/>
      <c r="AE828" s="32"/>
    </row>
    <row r="829" ht="15.75" customHeight="1"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6"/>
      <c r="P829" s="6"/>
      <c r="Q829" s="6"/>
      <c r="R829" s="6"/>
      <c r="S829" s="32"/>
      <c r="T829" s="32"/>
      <c r="U829" s="6"/>
      <c r="W829" s="32"/>
      <c r="X829" s="32"/>
      <c r="Y829" s="32"/>
      <c r="Z829" s="32"/>
      <c r="AA829" s="32"/>
      <c r="AB829" s="32"/>
      <c r="AC829" s="32"/>
      <c r="AD829" s="32"/>
      <c r="AE829" s="32"/>
    </row>
    <row r="830" ht="15.75" customHeight="1"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6"/>
      <c r="P830" s="6"/>
      <c r="Q830" s="6"/>
      <c r="R830" s="6"/>
      <c r="S830" s="32"/>
      <c r="T830" s="32"/>
      <c r="U830" s="6"/>
      <c r="W830" s="32"/>
      <c r="X830" s="32"/>
      <c r="Y830" s="32"/>
      <c r="Z830" s="32"/>
      <c r="AA830" s="32"/>
      <c r="AB830" s="32"/>
      <c r="AC830" s="32"/>
      <c r="AD830" s="32"/>
      <c r="AE830" s="32"/>
    </row>
    <row r="831" ht="15.75" customHeight="1"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6"/>
      <c r="P831" s="6"/>
      <c r="Q831" s="6"/>
      <c r="R831" s="6"/>
      <c r="S831" s="32"/>
      <c r="T831" s="32"/>
      <c r="U831" s="6"/>
      <c r="W831" s="32"/>
      <c r="X831" s="32"/>
      <c r="Y831" s="32"/>
      <c r="Z831" s="32"/>
      <c r="AA831" s="32"/>
      <c r="AB831" s="32"/>
      <c r="AC831" s="32"/>
      <c r="AD831" s="32"/>
      <c r="AE831" s="32"/>
    </row>
    <row r="832" ht="15.75" customHeight="1"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6"/>
      <c r="P832" s="6"/>
      <c r="Q832" s="6"/>
      <c r="R832" s="6"/>
      <c r="S832" s="32"/>
      <c r="T832" s="32"/>
      <c r="U832" s="6"/>
      <c r="W832" s="32"/>
      <c r="X832" s="32"/>
      <c r="Y832" s="32"/>
      <c r="Z832" s="32"/>
      <c r="AA832" s="32"/>
      <c r="AB832" s="32"/>
      <c r="AC832" s="32"/>
      <c r="AD832" s="32"/>
      <c r="AE832" s="32"/>
    </row>
    <row r="833" ht="15.75" customHeight="1"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6"/>
      <c r="P833" s="6"/>
      <c r="Q833" s="6"/>
      <c r="R833" s="6"/>
      <c r="S833" s="32"/>
      <c r="T833" s="32"/>
      <c r="U833" s="6"/>
      <c r="W833" s="32"/>
      <c r="X833" s="32"/>
      <c r="Y833" s="32"/>
      <c r="Z833" s="32"/>
      <c r="AA833" s="32"/>
      <c r="AB833" s="32"/>
      <c r="AC833" s="32"/>
      <c r="AD833" s="32"/>
      <c r="AE833" s="32"/>
    </row>
    <row r="834" ht="15.75" customHeight="1"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6"/>
      <c r="P834" s="6"/>
      <c r="Q834" s="6"/>
      <c r="R834" s="6"/>
      <c r="S834" s="32"/>
      <c r="T834" s="32"/>
      <c r="U834" s="6"/>
      <c r="W834" s="32"/>
      <c r="X834" s="32"/>
      <c r="Y834" s="32"/>
      <c r="Z834" s="32"/>
      <c r="AA834" s="32"/>
      <c r="AB834" s="32"/>
      <c r="AC834" s="32"/>
      <c r="AD834" s="32"/>
      <c r="AE834" s="32"/>
    </row>
    <row r="835" ht="15.75" customHeight="1"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6"/>
      <c r="P835" s="6"/>
      <c r="Q835" s="6"/>
      <c r="R835" s="6"/>
      <c r="S835" s="32"/>
      <c r="T835" s="32"/>
      <c r="U835" s="6"/>
      <c r="W835" s="32"/>
      <c r="X835" s="32"/>
      <c r="Y835" s="32"/>
      <c r="Z835" s="32"/>
      <c r="AA835" s="32"/>
      <c r="AB835" s="32"/>
      <c r="AC835" s="32"/>
      <c r="AD835" s="32"/>
      <c r="AE835" s="32"/>
    </row>
    <row r="836" ht="15.75" customHeight="1"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6"/>
      <c r="P836" s="6"/>
      <c r="Q836" s="6"/>
      <c r="R836" s="6"/>
      <c r="S836" s="32"/>
      <c r="T836" s="32"/>
      <c r="U836" s="6"/>
      <c r="W836" s="32"/>
      <c r="X836" s="32"/>
      <c r="Y836" s="32"/>
      <c r="Z836" s="32"/>
      <c r="AA836" s="32"/>
      <c r="AB836" s="32"/>
      <c r="AC836" s="32"/>
      <c r="AD836" s="32"/>
      <c r="AE836" s="32"/>
    </row>
    <row r="837" ht="15.75" customHeight="1"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6"/>
      <c r="P837" s="6"/>
      <c r="Q837" s="6"/>
      <c r="R837" s="6"/>
      <c r="S837" s="32"/>
      <c r="T837" s="32"/>
      <c r="U837" s="6"/>
      <c r="W837" s="32"/>
      <c r="X837" s="32"/>
      <c r="Y837" s="32"/>
      <c r="Z837" s="32"/>
      <c r="AA837" s="32"/>
      <c r="AB837" s="32"/>
      <c r="AC837" s="32"/>
      <c r="AD837" s="32"/>
      <c r="AE837" s="32"/>
    </row>
    <row r="838" ht="15.75" customHeight="1"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6"/>
      <c r="P838" s="6"/>
      <c r="Q838" s="6"/>
      <c r="R838" s="6"/>
      <c r="S838" s="32"/>
      <c r="T838" s="32"/>
      <c r="U838" s="6"/>
      <c r="W838" s="32"/>
      <c r="X838" s="32"/>
      <c r="Y838" s="32"/>
      <c r="Z838" s="32"/>
      <c r="AA838" s="32"/>
      <c r="AB838" s="32"/>
      <c r="AC838" s="32"/>
      <c r="AD838" s="32"/>
      <c r="AE838" s="32"/>
    </row>
    <row r="839" ht="15.75" customHeight="1"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6"/>
      <c r="P839" s="6"/>
      <c r="Q839" s="6"/>
      <c r="R839" s="6"/>
      <c r="S839" s="32"/>
      <c r="T839" s="32"/>
      <c r="U839" s="6"/>
      <c r="W839" s="32"/>
      <c r="X839" s="32"/>
      <c r="Y839" s="32"/>
      <c r="Z839" s="32"/>
      <c r="AA839" s="32"/>
      <c r="AB839" s="32"/>
      <c r="AC839" s="32"/>
      <c r="AD839" s="32"/>
      <c r="AE839" s="32"/>
    </row>
    <row r="840" ht="15.75" customHeight="1"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6"/>
      <c r="P840" s="6"/>
      <c r="Q840" s="6"/>
      <c r="R840" s="6"/>
      <c r="S840" s="32"/>
      <c r="T840" s="32"/>
      <c r="U840" s="6"/>
      <c r="W840" s="32"/>
      <c r="X840" s="32"/>
      <c r="Y840" s="32"/>
      <c r="Z840" s="32"/>
      <c r="AA840" s="32"/>
      <c r="AB840" s="32"/>
      <c r="AC840" s="32"/>
      <c r="AD840" s="32"/>
      <c r="AE840" s="32"/>
    </row>
    <row r="841" ht="15.75" customHeight="1"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6"/>
      <c r="P841" s="6"/>
      <c r="Q841" s="6"/>
      <c r="R841" s="6"/>
      <c r="S841" s="32"/>
      <c r="T841" s="32"/>
      <c r="U841" s="6"/>
      <c r="W841" s="32"/>
      <c r="X841" s="32"/>
      <c r="Y841" s="32"/>
      <c r="Z841" s="32"/>
      <c r="AA841" s="32"/>
      <c r="AB841" s="32"/>
      <c r="AC841" s="32"/>
      <c r="AD841" s="32"/>
      <c r="AE841" s="32"/>
    </row>
    <row r="842" ht="15.75" customHeight="1"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6"/>
      <c r="P842" s="6"/>
      <c r="Q842" s="6"/>
      <c r="R842" s="6"/>
      <c r="S842" s="32"/>
      <c r="T842" s="32"/>
      <c r="U842" s="6"/>
      <c r="W842" s="32"/>
      <c r="X842" s="32"/>
      <c r="Y842" s="32"/>
      <c r="Z842" s="32"/>
      <c r="AA842" s="32"/>
      <c r="AB842" s="32"/>
      <c r="AC842" s="32"/>
      <c r="AD842" s="32"/>
      <c r="AE842" s="32"/>
    </row>
    <row r="843" ht="15.75" customHeight="1"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6"/>
      <c r="P843" s="6"/>
      <c r="Q843" s="6"/>
      <c r="R843" s="6"/>
      <c r="S843" s="32"/>
      <c r="T843" s="32"/>
      <c r="U843" s="6"/>
      <c r="W843" s="32"/>
      <c r="X843" s="32"/>
      <c r="Y843" s="32"/>
      <c r="Z843" s="32"/>
      <c r="AA843" s="32"/>
      <c r="AB843" s="32"/>
      <c r="AC843" s="32"/>
      <c r="AD843" s="32"/>
      <c r="AE843" s="32"/>
    </row>
    <row r="844" ht="15.75" customHeight="1"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6"/>
      <c r="P844" s="6"/>
      <c r="Q844" s="6"/>
      <c r="R844" s="6"/>
      <c r="S844" s="32"/>
      <c r="T844" s="32"/>
      <c r="U844" s="6"/>
      <c r="W844" s="32"/>
      <c r="X844" s="32"/>
      <c r="Y844" s="32"/>
      <c r="Z844" s="32"/>
      <c r="AA844" s="32"/>
      <c r="AB844" s="32"/>
      <c r="AC844" s="32"/>
      <c r="AD844" s="32"/>
      <c r="AE844" s="32"/>
    </row>
    <row r="845" ht="15.75" customHeight="1"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6"/>
      <c r="P845" s="6"/>
      <c r="Q845" s="6"/>
      <c r="R845" s="6"/>
      <c r="S845" s="32"/>
      <c r="T845" s="32"/>
      <c r="U845" s="6"/>
      <c r="W845" s="32"/>
      <c r="X845" s="32"/>
      <c r="Y845" s="32"/>
      <c r="Z845" s="32"/>
      <c r="AA845" s="32"/>
      <c r="AB845" s="32"/>
      <c r="AC845" s="32"/>
      <c r="AD845" s="32"/>
      <c r="AE845" s="32"/>
    </row>
    <row r="846" ht="15.75" customHeight="1"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6"/>
      <c r="P846" s="6"/>
      <c r="Q846" s="6"/>
      <c r="R846" s="6"/>
      <c r="S846" s="32"/>
      <c r="T846" s="32"/>
      <c r="U846" s="6"/>
      <c r="W846" s="32"/>
      <c r="X846" s="32"/>
      <c r="Y846" s="32"/>
      <c r="Z846" s="32"/>
      <c r="AA846" s="32"/>
      <c r="AB846" s="32"/>
      <c r="AC846" s="32"/>
      <c r="AD846" s="32"/>
      <c r="AE846" s="32"/>
    </row>
    <row r="847" ht="15.75" customHeight="1"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6"/>
      <c r="P847" s="6"/>
      <c r="Q847" s="6"/>
      <c r="R847" s="6"/>
      <c r="S847" s="32"/>
      <c r="T847" s="32"/>
      <c r="U847" s="6"/>
      <c r="W847" s="32"/>
      <c r="X847" s="32"/>
      <c r="Y847" s="32"/>
      <c r="Z847" s="32"/>
      <c r="AA847" s="32"/>
      <c r="AB847" s="32"/>
      <c r="AC847" s="32"/>
      <c r="AD847" s="32"/>
      <c r="AE847" s="32"/>
    </row>
    <row r="848" ht="15.75" customHeight="1"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6"/>
      <c r="P848" s="6"/>
      <c r="Q848" s="6"/>
      <c r="R848" s="6"/>
      <c r="S848" s="32"/>
      <c r="T848" s="32"/>
      <c r="U848" s="6"/>
      <c r="W848" s="32"/>
      <c r="X848" s="32"/>
      <c r="Y848" s="32"/>
      <c r="Z848" s="32"/>
      <c r="AA848" s="32"/>
      <c r="AB848" s="32"/>
      <c r="AC848" s="32"/>
      <c r="AD848" s="32"/>
      <c r="AE848" s="32"/>
    </row>
    <row r="849" ht="15.75" customHeight="1"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6"/>
      <c r="P849" s="6"/>
      <c r="Q849" s="6"/>
      <c r="R849" s="6"/>
      <c r="S849" s="32"/>
      <c r="T849" s="32"/>
      <c r="U849" s="6"/>
      <c r="W849" s="32"/>
      <c r="X849" s="32"/>
      <c r="Y849" s="32"/>
      <c r="Z849" s="32"/>
      <c r="AA849" s="32"/>
      <c r="AB849" s="32"/>
      <c r="AC849" s="32"/>
      <c r="AD849" s="32"/>
      <c r="AE849" s="32"/>
    </row>
    <row r="850" ht="15.75" customHeight="1"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6"/>
      <c r="P850" s="6"/>
      <c r="Q850" s="6"/>
      <c r="R850" s="6"/>
      <c r="S850" s="32"/>
      <c r="T850" s="32"/>
      <c r="U850" s="6"/>
      <c r="W850" s="32"/>
      <c r="X850" s="32"/>
      <c r="Y850" s="32"/>
      <c r="Z850" s="32"/>
      <c r="AA850" s="32"/>
      <c r="AB850" s="32"/>
      <c r="AC850" s="32"/>
      <c r="AD850" s="32"/>
      <c r="AE850" s="32"/>
    </row>
    <row r="851" ht="15.75" customHeight="1"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6"/>
      <c r="P851" s="6"/>
      <c r="Q851" s="6"/>
      <c r="R851" s="6"/>
      <c r="S851" s="32"/>
      <c r="T851" s="32"/>
      <c r="U851" s="6"/>
      <c r="W851" s="32"/>
      <c r="X851" s="32"/>
      <c r="Y851" s="32"/>
      <c r="Z851" s="32"/>
      <c r="AA851" s="32"/>
      <c r="AB851" s="32"/>
      <c r="AC851" s="32"/>
      <c r="AD851" s="32"/>
      <c r="AE851" s="32"/>
    </row>
    <row r="852" ht="15.75" customHeight="1"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6"/>
      <c r="P852" s="6"/>
      <c r="Q852" s="6"/>
      <c r="R852" s="6"/>
      <c r="S852" s="32"/>
      <c r="T852" s="32"/>
      <c r="U852" s="6"/>
      <c r="W852" s="32"/>
      <c r="X852" s="32"/>
      <c r="Y852" s="32"/>
      <c r="Z852" s="32"/>
      <c r="AA852" s="32"/>
      <c r="AB852" s="32"/>
      <c r="AC852" s="32"/>
      <c r="AD852" s="32"/>
      <c r="AE852" s="32"/>
    </row>
    <row r="853" ht="15.75" customHeight="1"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6"/>
      <c r="P853" s="6"/>
      <c r="Q853" s="6"/>
      <c r="R853" s="6"/>
      <c r="S853" s="32"/>
      <c r="T853" s="32"/>
      <c r="U853" s="6"/>
      <c r="W853" s="32"/>
      <c r="X853" s="32"/>
      <c r="Y853" s="32"/>
      <c r="Z853" s="32"/>
      <c r="AA853" s="32"/>
      <c r="AB853" s="32"/>
      <c r="AC853" s="32"/>
      <c r="AD853" s="32"/>
      <c r="AE853" s="32"/>
    </row>
    <row r="854" ht="15.75" customHeight="1"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6"/>
      <c r="P854" s="6"/>
      <c r="Q854" s="6"/>
      <c r="R854" s="6"/>
      <c r="S854" s="32"/>
      <c r="T854" s="32"/>
      <c r="U854" s="6"/>
      <c r="W854" s="32"/>
      <c r="X854" s="32"/>
      <c r="Y854" s="32"/>
      <c r="Z854" s="32"/>
      <c r="AA854" s="32"/>
      <c r="AB854" s="32"/>
      <c r="AC854" s="32"/>
      <c r="AD854" s="32"/>
      <c r="AE854" s="32"/>
    </row>
    <row r="855" ht="15.75" customHeight="1"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6"/>
      <c r="P855" s="6"/>
      <c r="Q855" s="6"/>
      <c r="R855" s="6"/>
      <c r="S855" s="32"/>
      <c r="T855" s="32"/>
      <c r="U855" s="6"/>
      <c r="W855" s="32"/>
      <c r="X855" s="32"/>
      <c r="Y855" s="32"/>
      <c r="Z855" s="32"/>
      <c r="AA855" s="32"/>
      <c r="AB855" s="32"/>
      <c r="AC855" s="32"/>
      <c r="AD855" s="32"/>
      <c r="AE855" s="32"/>
    </row>
    <row r="856" ht="15.75" customHeight="1"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6"/>
      <c r="P856" s="6"/>
      <c r="Q856" s="6"/>
      <c r="R856" s="6"/>
      <c r="S856" s="32"/>
      <c r="T856" s="32"/>
      <c r="U856" s="6"/>
      <c r="W856" s="32"/>
      <c r="X856" s="32"/>
      <c r="Y856" s="32"/>
      <c r="Z856" s="32"/>
      <c r="AA856" s="32"/>
      <c r="AB856" s="32"/>
      <c r="AC856" s="32"/>
      <c r="AD856" s="32"/>
      <c r="AE856" s="32"/>
    </row>
    <row r="857" ht="15.75" customHeight="1"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6"/>
      <c r="P857" s="6"/>
      <c r="Q857" s="6"/>
      <c r="R857" s="6"/>
      <c r="S857" s="32"/>
      <c r="T857" s="32"/>
      <c r="U857" s="6"/>
      <c r="W857" s="32"/>
      <c r="X857" s="32"/>
      <c r="Y857" s="32"/>
      <c r="Z857" s="32"/>
      <c r="AA857" s="32"/>
      <c r="AB857" s="32"/>
      <c r="AC857" s="32"/>
      <c r="AD857" s="32"/>
      <c r="AE857" s="32"/>
    </row>
    <row r="858" ht="15.75" customHeight="1"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6"/>
      <c r="P858" s="6"/>
      <c r="Q858" s="6"/>
      <c r="R858" s="6"/>
      <c r="S858" s="32"/>
      <c r="T858" s="32"/>
      <c r="U858" s="6"/>
      <c r="W858" s="32"/>
      <c r="X858" s="32"/>
      <c r="Y858" s="32"/>
      <c r="Z858" s="32"/>
      <c r="AA858" s="32"/>
      <c r="AB858" s="32"/>
      <c r="AC858" s="32"/>
      <c r="AD858" s="32"/>
      <c r="AE858" s="32"/>
    </row>
    <row r="859" ht="15.75" customHeight="1"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6"/>
      <c r="P859" s="6"/>
      <c r="Q859" s="6"/>
      <c r="R859" s="6"/>
      <c r="S859" s="32"/>
      <c r="T859" s="32"/>
      <c r="U859" s="6"/>
      <c r="W859" s="32"/>
      <c r="X859" s="32"/>
      <c r="Y859" s="32"/>
      <c r="Z859" s="32"/>
      <c r="AA859" s="32"/>
      <c r="AB859" s="32"/>
      <c r="AC859" s="32"/>
      <c r="AD859" s="32"/>
      <c r="AE859" s="32"/>
    </row>
    <row r="860" ht="15.75" customHeight="1"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6"/>
      <c r="P860" s="6"/>
      <c r="Q860" s="6"/>
      <c r="R860" s="6"/>
      <c r="S860" s="32"/>
      <c r="T860" s="32"/>
      <c r="U860" s="6"/>
      <c r="W860" s="32"/>
      <c r="X860" s="32"/>
      <c r="Y860" s="32"/>
      <c r="Z860" s="32"/>
      <c r="AA860" s="32"/>
      <c r="AB860" s="32"/>
      <c r="AC860" s="32"/>
      <c r="AD860" s="32"/>
      <c r="AE860" s="32"/>
    </row>
    <row r="861" ht="15.75" customHeight="1"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6"/>
      <c r="P861" s="6"/>
      <c r="Q861" s="6"/>
      <c r="R861" s="6"/>
      <c r="S861" s="32"/>
      <c r="T861" s="32"/>
      <c r="U861" s="6"/>
      <c r="W861" s="32"/>
      <c r="X861" s="32"/>
      <c r="Y861" s="32"/>
      <c r="Z861" s="32"/>
      <c r="AA861" s="32"/>
      <c r="AB861" s="32"/>
      <c r="AC861" s="32"/>
      <c r="AD861" s="32"/>
      <c r="AE861" s="32"/>
    </row>
    <row r="862" ht="15.75" customHeight="1"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6"/>
      <c r="P862" s="6"/>
      <c r="Q862" s="6"/>
      <c r="R862" s="6"/>
      <c r="S862" s="32"/>
      <c r="T862" s="32"/>
      <c r="U862" s="6"/>
      <c r="W862" s="32"/>
      <c r="X862" s="32"/>
      <c r="Y862" s="32"/>
      <c r="Z862" s="32"/>
      <c r="AA862" s="32"/>
      <c r="AB862" s="32"/>
      <c r="AC862" s="32"/>
      <c r="AD862" s="32"/>
      <c r="AE862" s="32"/>
    </row>
    <row r="863" ht="15.75" customHeight="1"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6"/>
      <c r="P863" s="6"/>
      <c r="Q863" s="6"/>
      <c r="R863" s="6"/>
      <c r="S863" s="32"/>
      <c r="T863" s="32"/>
      <c r="U863" s="6"/>
      <c r="W863" s="32"/>
      <c r="X863" s="32"/>
      <c r="Y863" s="32"/>
      <c r="Z863" s="32"/>
      <c r="AA863" s="32"/>
      <c r="AB863" s="32"/>
      <c r="AC863" s="32"/>
      <c r="AD863" s="32"/>
      <c r="AE863" s="32"/>
    </row>
    <row r="864" ht="15.75" customHeight="1"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6"/>
      <c r="P864" s="6"/>
      <c r="Q864" s="6"/>
      <c r="R864" s="6"/>
      <c r="S864" s="32"/>
      <c r="T864" s="32"/>
      <c r="U864" s="6"/>
      <c r="W864" s="32"/>
      <c r="X864" s="32"/>
      <c r="Y864" s="32"/>
      <c r="Z864" s="32"/>
      <c r="AA864" s="32"/>
      <c r="AB864" s="32"/>
      <c r="AC864" s="32"/>
      <c r="AD864" s="32"/>
      <c r="AE864" s="32"/>
    </row>
    <row r="865" ht="15.75" customHeight="1"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6"/>
      <c r="P865" s="6"/>
      <c r="Q865" s="6"/>
      <c r="R865" s="6"/>
      <c r="S865" s="32"/>
      <c r="T865" s="32"/>
      <c r="U865" s="6"/>
      <c r="W865" s="32"/>
      <c r="X865" s="32"/>
      <c r="Y865" s="32"/>
      <c r="Z865" s="32"/>
      <c r="AA865" s="32"/>
      <c r="AB865" s="32"/>
      <c r="AC865" s="32"/>
      <c r="AD865" s="32"/>
      <c r="AE865" s="32"/>
    </row>
    <row r="866" ht="15.75" customHeight="1"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6"/>
      <c r="P866" s="6"/>
      <c r="Q866" s="6"/>
      <c r="R866" s="6"/>
      <c r="S866" s="32"/>
      <c r="T866" s="32"/>
      <c r="U866" s="6"/>
      <c r="W866" s="32"/>
      <c r="X866" s="32"/>
      <c r="Y866" s="32"/>
      <c r="Z866" s="32"/>
      <c r="AA866" s="32"/>
      <c r="AB866" s="32"/>
      <c r="AC866" s="32"/>
      <c r="AD866" s="32"/>
      <c r="AE866" s="32"/>
    </row>
    <row r="867" ht="15.75" customHeight="1"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6"/>
      <c r="P867" s="6"/>
      <c r="Q867" s="6"/>
      <c r="R867" s="6"/>
      <c r="S867" s="32"/>
      <c r="T867" s="32"/>
      <c r="U867" s="6"/>
      <c r="W867" s="32"/>
      <c r="X867" s="32"/>
      <c r="Y867" s="32"/>
      <c r="Z867" s="32"/>
      <c r="AA867" s="32"/>
      <c r="AB867" s="32"/>
      <c r="AC867" s="32"/>
      <c r="AD867" s="32"/>
      <c r="AE867" s="32"/>
    </row>
    <row r="868" ht="15.75" customHeight="1"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6"/>
      <c r="P868" s="6"/>
      <c r="Q868" s="6"/>
      <c r="R868" s="6"/>
      <c r="S868" s="32"/>
      <c r="T868" s="32"/>
      <c r="U868" s="6"/>
      <c r="W868" s="32"/>
      <c r="X868" s="32"/>
      <c r="Y868" s="32"/>
      <c r="Z868" s="32"/>
      <c r="AA868" s="32"/>
      <c r="AB868" s="32"/>
      <c r="AC868" s="32"/>
      <c r="AD868" s="32"/>
      <c r="AE868" s="32"/>
    </row>
    <row r="869" ht="15.75" customHeight="1"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6"/>
      <c r="P869" s="6"/>
      <c r="Q869" s="6"/>
      <c r="R869" s="6"/>
      <c r="S869" s="32"/>
      <c r="T869" s="32"/>
      <c r="U869" s="6"/>
      <c r="W869" s="32"/>
      <c r="X869" s="32"/>
      <c r="Y869" s="32"/>
      <c r="Z869" s="32"/>
      <c r="AA869" s="32"/>
      <c r="AB869" s="32"/>
      <c r="AC869" s="32"/>
      <c r="AD869" s="32"/>
      <c r="AE869" s="32"/>
    </row>
    <row r="870" ht="15.75" customHeight="1"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6"/>
      <c r="P870" s="6"/>
      <c r="Q870" s="6"/>
      <c r="R870" s="6"/>
      <c r="S870" s="32"/>
      <c r="T870" s="32"/>
      <c r="U870" s="6"/>
      <c r="W870" s="32"/>
      <c r="X870" s="32"/>
      <c r="Y870" s="32"/>
      <c r="Z870" s="32"/>
      <c r="AA870" s="32"/>
      <c r="AB870" s="32"/>
      <c r="AC870" s="32"/>
      <c r="AD870" s="32"/>
      <c r="AE870" s="32"/>
    </row>
    <row r="871" ht="15.75" customHeight="1"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6"/>
      <c r="P871" s="6"/>
      <c r="Q871" s="6"/>
      <c r="R871" s="6"/>
      <c r="S871" s="32"/>
      <c r="T871" s="32"/>
      <c r="U871" s="6"/>
      <c r="W871" s="32"/>
      <c r="X871" s="32"/>
      <c r="Y871" s="32"/>
      <c r="Z871" s="32"/>
      <c r="AA871" s="32"/>
      <c r="AB871" s="32"/>
      <c r="AC871" s="32"/>
      <c r="AD871" s="32"/>
      <c r="AE871" s="32"/>
    </row>
    <row r="872" ht="15.75" customHeight="1"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6"/>
      <c r="P872" s="6"/>
      <c r="Q872" s="6"/>
      <c r="R872" s="6"/>
      <c r="S872" s="32"/>
      <c r="T872" s="32"/>
      <c r="U872" s="6"/>
      <c r="W872" s="32"/>
      <c r="X872" s="32"/>
      <c r="Y872" s="32"/>
      <c r="Z872" s="32"/>
      <c r="AA872" s="32"/>
      <c r="AB872" s="32"/>
      <c r="AC872" s="32"/>
      <c r="AD872" s="32"/>
      <c r="AE872" s="32"/>
    </row>
    <row r="873" ht="15.75" customHeight="1"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6"/>
      <c r="P873" s="6"/>
      <c r="Q873" s="6"/>
      <c r="R873" s="6"/>
      <c r="S873" s="32"/>
      <c r="T873" s="32"/>
      <c r="U873" s="6"/>
      <c r="W873" s="32"/>
      <c r="X873" s="32"/>
      <c r="Y873" s="32"/>
      <c r="Z873" s="32"/>
      <c r="AA873" s="32"/>
      <c r="AB873" s="32"/>
      <c r="AC873" s="32"/>
      <c r="AD873" s="32"/>
      <c r="AE873" s="32"/>
    </row>
    <row r="874" ht="15.75" customHeight="1"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6"/>
      <c r="P874" s="6"/>
      <c r="Q874" s="6"/>
      <c r="R874" s="6"/>
      <c r="S874" s="32"/>
      <c r="T874" s="32"/>
      <c r="U874" s="6"/>
      <c r="W874" s="32"/>
      <c r="X874" s="32"/>
      <c r="Y874" s="32"/>
      <c r="Z874" s="32"/>
      <c r="AA874" s="32"/>
      <c r="AB874" s="32"/>
      <c r="AC874" s="32"/>
      <c r="AD874" s="32"/>
      <c r="AE874" s="32"/>
    </row>
    <row r="875" ht="15.75" customHeight="1"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6"/>
      <c r="P875" s="6"/>
      <c r="Q875" s="6"/>
      <c r="R875" s="6"/>
      <c r="S875" s="32"/>
      <c r="T875" s="32"/>
      <c r="U875" s="6"/>
      <c r="W875" s="32"/>
      <c r="X875" s="32"/>
      <c r="Y875" s="32"/>
      <c r="Z875" s="32"/>
      <c r="AA875" s="32"/>
      <c r="AB875" s="32"/>
      <c r="AC875" s="32"/>
      <c r="AD875" s="32"/>
      <c r="AE875" s="32"/>
    </row>
    <row r="876" ht="15.75" customHeight="1"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6"/>
      <c r="P876" s="6"/>
      <c r="Q876" s="6"/>
      <c r="R876" s="6"/>
      <c r="S876" s="32"/>
      <c r="T876" s="32"/>
      <c r="U876" s="6"/>
      <c r="W876" s="32"/>
      <c r="X876" s="32"/>
      <c r="Y876" s="32"/>
      <c r="Z876" s="32"/>
      <c r="AA876" s="32"/>
      <c r="AB876" s="32"/>
      <c r="AC876" s="32"/>
      <c r="AD876" s="32"/>
      <c r="AE876" s="32"/>
    </row>
    <row r="877" ht="15.75" customHeight="1"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6"/>
      <c r="P877" s="6"/>
      <c r="Q877" s="6"/>
      <c r="R877" s="6"/>
      <c r="S877" s="32"/>
      <c r="T877" s="32"/>
      <c r="U877" s="6"/>
      <c r="W877" s="32"/>
      <c r="X877" s="32"/>
      <c r="Y877" s="32"/>
      <c r="Z877" s="32"/>
      <c r="AA877" s="32"/>
      <c r="AB877" s="32"/>
      <c r="AC877" s="32"/>
      <c r="AD877" s="32"/>
      <c r="AE877" s="32"/>
    </row>
    <row r="878" ht="15.75" customHeight="1"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6"/>
      <c r="P878" s="6"/>
      <c r="Q878" s="6"/>
      <c r="R878" s="6"/>
      <c r="S878" s="32"/>
      <c r="T878" s="32"/>
      <c r="U878" s="6"/>
      <c r="W878" s="32"/>
      <c r="X878" s="32"/>
      <c r="Y878" s="32"/>
      <c r="Z878" s="32"/>
      <c r="AA878" s="32"/>
      <c r="AB878" s="32"/>
      <c r="AC878" s="32"/>
      <c r="AD878" s="32"/>
      <c r="AE878" s="32"/>
    </row>
    <row r="879" ht="15.75" customHeight="1"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6"/>
      <c r="P879" s="6"/>
      <c r="Q879" s="6"/>
      <c r="R879" s="6"/>
      <c r="S879" s="32"/>
      <c r="T879" s="32"/>
      <c r="U879" s="6"/>
      <c r="W879" s="32"/>
      <c r="X879" s="32"/>
      <c r="Y879" s="32"/>
      <c r="Z879" s="32"/>
      <c r="AA879" s="32"/>
      <c r="AB879" s="32"/>
      <c r="AC879" s="32"/>
      <c r="AD879" s="32"/>
      <c r="AE879" s="32"/>
    </row>
    <row r="880" ht="15.75" customHeight="1"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6"/>
      <c r="P880" s="6"/>
      <c r="Q880" s="6"/>
      <c r="R880" s="6"/>
      <c r="S880" s="32"/>
      <c r="T880" s="32"/>
      <c r="U880" s="6"/>
      <c r="W880" s="32"/>
      <c r="X880" s="32"/>
      <c r="Y880" s="32"/>
      <c r="Z880" s="32"/>
      <c r="AA880" s="32"/>
      <c r="AB880" s="32"/>
      <c r="AC880" s="32"/>
      <c r="AD880" s="32"/>
      <c r="AE880" s="32"/>
    </row>
    <row r="881" ht="15.75" customHeight="1"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6"/>
      <c r="P881" s="6"/>
      <c r="Q881" s="6"/>
      <c r="R881" s="6"/>
      <c r="S881" s="32"/>
      <c r="T881" s="32"/>
      <c r="U881" s="6"/>
      <c r="W881" s="32"/>
      <c r="X881" s="32"/>
      <c r="Y881" s="32"/>
      <c r="Z881" s="32"/>
      <c r="AA881" s="32"/>
      <c r="AB881" s="32"/>
      <c r="AC881" s="32"/>
      <c r="AD881" s="32"/>
      <c r="AE881" s="32"/>
    </row>
    <row r="882" ht="15.75" customHeight="1"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6"/>
      <c r="P882" s="6"/>
      <c r="Q882" s="6"/>
      <c r="R882" s="6"/>
      <c r="S882" s="32"/>
      <c r="T882" s="32"/>
      <c r="U882" s="6"/>
      <c r="W882" s="32"/>
      <c r="X882" s="32"/>
      <c r="Y882" s="32"/>
      <c r="Z882" s="32"/>
      <c r="AA882" s="32"/>
      <c r="AB882" s="32"/>
      <c r="AC882" s="32"/>
      <c r="AD882" s="32"/>
      <c r="AE882" s="32"/>
    </row>
    <row r="883" ht="15.75" customHeight="1"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6"/>
      <c r="P883" s="6"/>
      <c r="Q883" s="6"/>
      <c r="R883" s="6"/>
      <c r="S883" s="32"/>
      <c r="T883" s="32"/>
      <c r="U883" s="6"/>
      <c r="W883" s="32"/>
      <c r="X883" s="32"/>
      <c r="Y883" s="32"/>
      <c r="Z883" s="32"/>
      <c r="AA883" s="32"/>
      <c r="AB883" s="32"/>
      <c r="AC883" s="32"/>
      <c r="AD883" s="32"/>
      <c r="AE883" s="32"/>
    </row>
    <row r="884" ht="15.75" customHeight="1"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6"/>
      <c r="P884" s="6"/>
      <c r="Q884" s="6"/>
      <c r="R884" s="6"/>
      <c r="S884" s="32"/>
      <c r="T884" s="32"/>
      <c r="U884" s="6"/>
      <c r="W884" s="32"/>
      <c r="X884" s="32"/>
      <c r="Y884" s="32"/>
      <c r="Z884" s="32"/>
      <c r="AA884" s="32"/>
      <c r="AB884" s="32"/>
      <c r="AC884" s="32"/>
      <c r="AD884" s="32"/>
      <c r="AE884" s="32"/>
    </row>
    <row r="885" ht="15.75" customHeight="1"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6"/>
      <c r="P885" s="6"/>
      <c r="Q885" s="6"/>
      <c r="R885" s="6"/>
      <c r="S885" s="32"/>
      <c r="T885" s="32"/>
      <c r="U885" s="6"/>
      <c r="W885" s="32"/>
      <c r="X885" s="32"/>
      <c r="Y885" s="32"/>
      <c r="Z885" s="32"/>
      <c r="AA885" s="32"/>
      <c r="AB885" s="32"/>
      <c r="AC885" s="32"/>
      <c r="AD885" s="32"/>
      <c r="AE885" s="32"/>
    </row>
    <row r="886" ht="15.75" customHeight="1"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6"/>
      <c r="P886" s="6"/>
      <c r="Q886" s="6"/>
      <c r="R886" s="6"/>
      <c r="S886" s="32"/>
      <c r="T886" s="32"/>
      <c r="U886" s="6"/>
      <c r="W886" s="32"/>
      <c r="X886" s="32"/>
      <c r="Y886" s="32"/>
      <c r="Z886" s="32"/>
      <c r="AA886" s="32"/>
      <c r="AB886" s="32"/>
      <c r="AC886" s="32"/>
      <c r="AD886" s="32"/>
      <c r="AE886" s="32"/>
    </row>
    <row r="887" ht="15.75" customHeight="1"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6"/>
      <c r="P887" s="6"/>
      <c r="Q887" s="6"/>
      <c r="R887" s="6"/>
      <c r="S887" s="32"/>
      <c r="T887" s="32"/>
      <c r="U887" s="6"/>
      <c r="W887" s="32"/>
      <c r="X887" s="32"/>
      <c r="Y887" s="32"/>
      <c r="Z887" s="32"/>
      <c r="AA887" s="32"/>
      <c r="AB887" s="32"/>
      <c r="AC887" s="32"/>
      <c r="AD887" s="32"/>
      <c r="AE887" s="32"/>
    </row>
    <row r="888" ht="15.75" customHeight="1"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6"/>
      <c r="P888" s="6"/>
      <c r="Q888" s="6"/>
      <c r="R888" s="6"/>
      <c r="S888" s="32"/>
      <c r="T888" s="32"/>
      <c r="U888" s="6"/>
      <c r="W888" s="32"/>
      <c r="X888" s="32"/>
      <c r="Y888" s="32"/>
      <c r="Z888" s="32"/>
      <c r="AA888" s="32"/>
      <c r="AB888" s="32"/>
      <c r="AC888" s="32"/>
      <c r="AD888" s="32"/>
      <c r="AE888" s="32"/>
    </row>
    <row r="889" ht="15.75" customHeight="1"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6"/>
      <c r="P889" s="6"/>
      <c r="Q889" s="6"/>
      <c r="R889" s="6"/>
      <c r="S889" s="32"/>
      <c r="T889" s="32"/>
      <c r="U889" s="6"/>
      <c r="W889" s="32"/>
      <c r="X889" s="32"/>
      <c r="Y889" s="32"/>
      <c r="Z889" s="32"/>
      <c r="AA889" s="32"/>
      <c r="AB889" s="32"/>
      <c r="AC889" s="32"/>
      <c r="AD889" s="32"/>
      <c r="AE889" s="32"/>
    </row>
    <row r="890" ht="15.75" customHeight="1"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6"/>
      <c r="P890" s="6"/>
      <c r="Q890" s="6"/>
      <c r="R890" s="6"/>
      <c r="S890" s="32"/>
      <c r="T890" s="32"/>
      <c r="U890" s="6"/>
      <c r="W890" s="32"/>
      <c r="X890" s="32"/>
      <c r="Y890" s="32"/>
      <c r="Z890" s="32"/>
      <c r="AA890" s="32"/>
      <c r="AB890" s="32"/>
      <c r="AC890" s="32"/>
      <c r="AD890" s="32"/>
      <c r="AE890" s="32"/>
    </row>
    <row r="891" ht="15.75" customHeight="1"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6"/>
      <c r="P891" s="6"/>
      <c r="Q891" s="6"/>
      <c r="R891" s="6"/>
      <c r="S891" s="32"/>
      <c r="T891" s="32"/>
      <c r="U891" s="6"/>
      <c r="W891" s="32"/>
      <c r="X891" s="32"/>
      <c r="Y891" s="32"/>
      <c r="Z891" s="32"/>
      <c r="AA891" s="32"/>
      <c r="AB891" s="32"/>
      <c r="AC891" s="32"/>
      <c r="AD891" s="32"/>
      <c r="AE891" s="32"/>
    </row>
    <row r="892" ht="15.75" customHeight="1"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6"/>
      <c r="P892" s="6"/>
      <c r="Q892" s="6"/>
      <c r="R892" s="6"/>
      <c r="S892" s="32"/>
      <c r="T892" s="32"/>
      <c r="U892" s="6"/>
      <c r="W892" s="32"/>
      <c r="X892" s="32"/>
      <c r="Y892" s="32"/>
      <c r="Z892" s="32"/>
      <c r="AA892" s="32"/>
      <c r="AB892" s="32"/>
      <c r="AC892" s="32"/>
      <c r="AD892" s="32"/>
      <c r="AE892" s="32"/>
    </row>
    <row r="893" ht="15.75" customHeight="1"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6"/>
      <c r="P893" s="6"/>
      <c r="Q893" s="6"/>
      <c r="R893" s="6"/>
      <c r="S893" s="32"/>
      <c r="T893" s="32"/>
      <c r="U893" s="6"/>
      <c r="W893" s="32"/>
      <c r="X893" s="32"/>
      <c r="Y893" s="32"/>
      <c r="Z893" s="32"/>
      <c r="AA893" s="32"/>
      <c r="AB893" s="32"/>
      <c r="AC893" s="32"/>
      <c r="AD893" s="32"/>
      <c r="AE893" s="32"/>
    </row>
    <row r="894" ht="15.75" customHeight="1"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6"/>
      <c r="P894" s="6"/>
      <c r="Q894" s="6"/>
      <c r="R894" s="6"/>
      <c r="S894" s="32"/>
      <c r="T894" s="32"/>
      <c r="U894" s="6"/>
      <c r="W894" s="32"/>
      <c r="X894" s="32"/>
      <c r="Y894" s="32"/>
      <c r="Z894" s="32"/>
      <c r="AA894" s="32"/>
      <c r="AB894" s="32"/>
      <c r="AC894" s="32"/>
      <c r="AD894" s="32"/>
      <c r="AE894" s="32"/>
    </row>
    <row r="895" ht="15.75" customHeight="1"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6"/>
      <c r="P895" s="6"/>
      <c r="Q895" s="6"/>
      <c r="R895" s="6"/>
      <c r="S895" s="32"/>
      <c r="T895" s="32"/>
      <c r="U895" s="6"/>
      <c r="W895" s="32"/>
      <c r="X895" s="32"/>
      <c r="Y895" s="32"/>
      <c r="Z895" s="32"/>
      <c r="AA895" s="32"/>
      <c r="AB895" s="32"/>
      <c r="AC895" s="32"/>
      <c r="AD895" s="32"/>
      <c r="AE895" s="32"/>
    </row>
    <row r="896" ht="15.75" customHeight="1"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6"/>
      <c r="P896" s="6"/>
      <c r="Q896" s="6"/>
      <c r="R896" s="6"/>
      <c r="S896" s="32"/>
      <c r="T896" s="32"/>
      <c r="U896" s="6"/>
      <c r="W896" s="32"/>
      <c r="X896" s="32"/>
      <c r="Y896" s="32"/>
      <c r="Z896" s="32"/>
      <c r="AA896" s="32"/>
      <c r="AB896" s="32"/>
      <c r="AC896" s="32"/>
      <c r="AD896" s="32"/>
      <c r="AE896" s="32"/>
    </row>
    <row r="897" ht="15.75" customHeight="1"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6"/>
      <c r="P897" s="6"/>
      <c r="Q897" s="6"/>
      <c r="R897" s="6"/>
      <c r="S897" s="32"/>
      <c r="T897" s="32"/>
      <c r="U897" s="6"/>
      <c r="W897" s="32"/>
      <c r="X897" s="32"/>
      <c r="Y897" s="32"/>
      <c r="Z897" s="32"/>
      <c r="AA897" s="32"/>
      <c r="AB897" s="32"/>
      <c r="AC897" s="32"/>
      <c r="AD897" s="32"/>
      <c r="AE897" s="32"/>
    </row>
    <row r="898" ht="15.75" customHeight="1"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6"/>
      <c r="P898" s="6"/>
      <c r="Q898" s="6"/>
      <c r="R898" s="6"/>
      <c r="S898" s="32"/>
      <c r="T898" s="32"/>
      <c r="U898" s="6"/>
      <c r="W898" s="32"/>
      <c r="X898" s="32"/>
      <c r="Y898" s="32"/>
      <c r="Z898" s="32"/>
      <c r="AA898" s="32"/>
      <c r="AB898" s="32"/>
      <c r="AC898" s="32"/>
      <c r="AD898" s="32"/>
      <c r="AE898" s="32"/>
    </row>
    <row r="899" ht="15.75" customHeight="1"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6"/>
      <c r="P899" s="6"/>
      <c r="Q899" s="6"/>
      <c r="R899" s="6"/>
      <c r="S899" s="32"/>
      <c r="T899" s="32"/>
      <c r="U899" s="6"/>
      <c r="W899" s="32"/>
      <c r="X899" s="32"/>
      <c r="Y899" s="32"/>
      <c r="Z899" s="32"/>
      <c r="AA899" s="32"/>
      <c r="AB899" s="32"/>
      <c r="AC899" s="32"/>
      <c r="AD899" s="32"/>
      <c r="AE899" s="32"/>
    </row>
    <row r="900" ht="15.75" customHeight="1"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6"/>
      <c r="P900" s="6"/>
      <c r="Q900" s="6"/>
      <c r="R900" s="6"/>
      <c r="S900" s="32"/>
      <c r="T900" s="32"/>
      <c r="U900" s="6"/>
      <c r="W900" s="32"/>
      <c r="X900" s="32"/>
      <c r="Y900" s="32"/>
      <c r="Z900" s="32"/>
      <c r="AA900" s="32"/>
      <c r="AB900" s="32"/>
      <c r="AC900" s="32"/>
      <c r="AD900" s="32"/>
      <c r="AE900" s="32"/>
    </row>
    <row r="901" ht="15.75" customHeight="1"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6"/>
      <c r="P901" s="6"/>
      <c r="Q901" s="6"/>
      <c r="R901" s="6"/>
      <c r="S901" s="32"/>
      <c r="T901" s="32"/>
      <c r="U901" s="6"/>
      <c r="W901" s="32"/>
      <c r="X901" s="32"/>
      <c r="Y901" s="32"/>
      <c r="Z901" s="32"/>
      <c r="AA901" s="32"/>
      <c r="AB901" s="32"/>
      <c r="AC901" s="32"/>
      <c r="AD901" s="32"/>
      <c r="AE901" s="32"/>
    </row>
    <row r="902" ht="15.75" customHeight="1"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6"/>
      <c r="P902" s="6"/>
      <c r="Q902" s="6"/>
      <c r="R902" s="6"/>
      <c r="S902" s="32"/>
      <c r="T902" s="32"/>
      <c r="U902" s="6"/>
      <c r="W902" s="32"/>
      <c r="X902" s="32"/>
      <c r="Y902" s="32"/>
      <c r="Z902" s="32"/>
      <c r="AA902" s="32"/>
      <c r="AB902" s="32"/>
      <c r="AC902" s="32"/>
      <c r="AD902" s="32"/>
      <c r="AE902" s="32"/>
    </row>
    <row r="903" ht="15.75" customHeight="1"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6"/>
      <c r="P903" s="6"/>
      <c r="Q903" s="6"/>
      <c r="R903" s="6"/>
      <c r="S903" s="32"/>
      <c r="T903" s="32"/>
      <c r="U903" s="6"/>
      <c r="W903" s="32"/>
      <c r="X903" s="32"/>
      <c r="Y903" s="32"/>
      <c r="Z903" s="32"/>
      <c r="AA903" s="32"/>
      <c r="AB903" s="32"/>
      <c r="AC903" s="32"/>
      <c r="AD903" s="32"/>
      <c r="AE903" s="32"/>
    </row>
    <row r="904" ht="15.75" customHeight="1"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6"/>
      <c r="P904" s="6"/>
      <c r="Q904" s="6"/>
      <c r="R904" s="6"/>
      <c r="S904" s="32"/>
      <c r="T904" s="32"/>
      <c r="U904" s="6"/>
      <c r="W904" s="32"/>
      <c r="X904" s="32"/>
      <c r="Y904" s="32"/>
      <c r="Z904" s="32"/>
      <c r="AA904" s="32"/>
      <c r="AB904" s="32"/>
      <c r="AC904" s="32"/>
      <c r="AD904" s="32"/>
      <c r="AE904" s="32"/>
    </row>
    <row r="905" ht="15.75" customHeight="1"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6"/>
      <c r="P905" s="6"/>
      <c r="Q905" s="6"/>
      <c r="R905" s="6"/>
      <c r="S905" s="32"/>
      <c r="T905" s="32"/>
      <c r="U905" s="6"/>
      <c r="W905" s="32"/>
      <c r="X905" s="32"/>
      <c r="Y905" s="32"/>
      <c r="Z905" s="32"/>
      <c r="AA905" s="32"/>
      <c r="AB905" s="32"/>
      <c r="AC905" s="32"/>
      <c r="AD905" s="32"/>
      <c r="AE905" s="32"/>
    </row>
    <row r="906" ht="15.75" customHeight="1"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6"/>
      <c r="P906" s="6"/>
      <c r="Q906" s="6"/>
      <c r="R906" s="6"/>
      <c r="S906" s="32"/>
      <c r="T906" s="32"/>
      <c r="U906" s="6"/>
      <c r="W906" s="32"/>
      <c r="X906" s="32"/>
      <c r="Y906" s="32"/>
      <c r="Z906" s="32"/>
      <c r="AA906" s="32"/>
      <c r="AB906" s="32"/>
      <c r="AC906" s="32"/>
      <c r="AD906" s="32"/>
      <c r="AE906" s="32"/>
    </row>
    <row r="907" ht="15.75" customHeight="1"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6"/>
      <c r="P907" s="6"/>
      <c r="Q907" s="6"/>
      <c r="R907" s="6"/>
      <c r="S907" s="32"/>
      <c r="T907" s="32"/>
      <c r="U907" s="6"/>
      <c r="W907" s="32"/>
      <c r="X907" s="32"/>
      <c r="Y907" s="32"/>
      <c r="Z907" s="32"/>
      <c r="AA907" s="32"/>
      <c r="AB907" s="32"/>
      <c r="AC907" s="32"/>
      <c r="AD907" s="32"/>
      <c r="AE907" s="32"/>
    </row>
    <row r="908" ht="15.75" customHeight="1"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6"/>
      <c r="P908" s="6"/>
      <c r="Q908" s="6"/>
      <c r="R908" s="6"/>
      <c r="S908" s="32"/>
      <c r="T908" s="32"/>
      <c r="U908" s="6"/>
      <c r="W908" s="32"/>
      <c r="X908" s="32"/>
      <c r="Y908" s="32"/>
      <c r="Z908" s="32"/>
      <c r="AA908" s="32"/>
      <c r="AB908" s="32"/>
      <c r="AC908" s="32"/>
      <c r="AD908" s="32"/>
      <c r="AE908" s="32"/>
    </row>
    <row r="909" ht="15.75" customHeight="1"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6"/>
      <c r="P909" s="6"/>
      <c r="Q909" s="6"/>
      <c r="R909" s="6"/>
      <c r="S909" s="32"/>
      <c r="T909" s="32"/>
      <c r="U909" s="6"/>
      <c r="W909" s="32"/>
      <c r="X909" s="32"/>
      <c r="Y909" s="32"/>
      <c r="Z909" s="32"/>
      <c r="AA909" s="32"/>
      <c r="AB909" s="32"/>
      <c r="AC909" s="32"/>
      <c r="AD909" s="32"/>
      <c r="AE909" s="32"/>
    </row>
    <row r="910" ht="15.75" customHeight="1"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6"/>
      <c r="P910" s="6"/>
      <c r="Q910" s="6"/>
      <c r="R910" s="6"/>
      <c r="S910" s="32"/>
      <c r="T910" s="32"/>
      <c r="U910" s="6"/>
      <c r="W910" s="32"/>
      <c r="X910" s="32"/>
      <c r="Y910" s="32"/>
      <c r="Z910" s="32"/>
      <c r="AA910" s="32"/>
      <c r="AB910" s="32"/>
      <c r="AC910" s="32"/>
      <c r="AD910" s="32"/>
      <c r="AE910" s="32"/>
    </row>
    <row r="911" ht="15.75" customHeight="1"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6"/>
      <c r="P911" s="6"/>
      <c r="Q911" s="6"/>
      <c r="R911" s="6"/>
      <c r="S911" s="32"/>
      <c r="T911" s="32"/>
      <c r="U911" s="6"/>
      <c r="W911" s="32"/>
      <c r="X911" s="32"/>
      <c r="Y911" s="32"/>
      <c r="Z911" s="32"/>
      <c r="AA911" s="32"/>
      <c r="AB911" s="32"/>
      <c r="AC911" s="32"/>
      <c r="AD911" s="32"/>
      <c r="AE911" s="32"/>
    </row>
    <row r="912" ht="15.75" customHeight="1"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6"/>
      <c r="P912" s="6"/>
      <c r="Q912" s="6"/>
      <c r="R912" s="6"/>
      <c r="S912" s="32"/>
      <c r="T912" s="32"/>
      <c r="U912" s="6"/>
      <c r="W912" s="32"/>
      <c r="X912" s="32"/>
      <c r="Y912" s="32"/>
      <c r="Z912" s="32"/>
      <c r="AA912" s="32"/>
      <c r="AB912" s="32"/>
      <c r="AC912" s="32"/>
      <c r="AD912" s="32"/>
      <c r="AE912" s="32"/>
    </row>
    <row r="913" ht="15.75" customHeight="1"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6"/>
      <c r="P913" s="6"/>
      <c r="Q913" s="6"/>
      <c r="R913" s="6"/>
      <c r="S913" s="32"/>
      <c r="T913" s="32"/>
      <c r="U913" s="6"/>
      <c r="W913" s="32"/>
      <c r="X913" s="32"/>
      <c r="Y913" s="32"/>
      <c r="Z913" s="32"/>
      <c r="AA913" s="32"/>
      <c r="AB913" s="32"/>
      <c r="AC913" s="32"/>
      <c r="AD913" s="32"/>
      <c r="AE913" s="32"/>
    </row>
    <row r="914" ht="15.75" customHeight="1"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6"/>
      <c r="P914" s="6"/>
      <c r="Q914" s="6"/>
      <c r="R914" s="6"/>
      <c r="S914" s="32"/>
      <c r="T914" s="32"/>
      <c r="U914" s="6"/>
      <c r="W914" s="32"/>
      <c r="X914" s="32"/>
      <c r="Y914" s="32"/>
      <c r="Z914" s="32"/>
      <c r="AA914" s="32"/>
      <c r="AB914" s="32"/>
      <c r="AC914" s="32"/>
      <c r="AD914" s="32"/>
      <c r="AE914" s="32"/>
    </row>
    <row r="915" ht="15.75" customHeight="1"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6"/>
      <c r="P915" s="6"/>
      <c r="Q915" s="6"/>
      <c r="R915" s="6"/>
      <c r="S915" s="32"/>
      <c r="T915" s="32"/>
      <c r="U915" s="6"/>
      <c r="W915" s="32"/>
      <c r="X915" s="32"/>
      <c r="Y915" s="32"/>
      <c r="Z915" s="32"/>
      <c r="AA915" s="32"/>
      <c r="AB915" s="32"/>
      <c r="AC915" s="32"/>
      <c r="AD915" s="32"/>
      <c r="AE915" s="32"/>
    </row>
    <row r="916" ht="15.75" customHeight="1"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6"/>
      <c r="P916" s="6"/>
      <c r="Q916" s="6"/>
      <c r="R916" s="6"/>
      <c r="S916" s="32"/>
      <c r="T916" s="32"/>
      <c r="U916" s="6"/>
      <c r="W916" s="32"/>
      <c r="X916" s="32"/>
      <c r="Y916" s="32"/>
      <c r="Z916" s="32"/>
      <c r="AA916" s="32"/>
      <c r="AB916" s="32"/>
      <c r="AC916" s="32"/>
      <c r="AD916" s="32"/>
      <c r="AE916" s="32"/>
    </row>
    <row r="917" ht="15.75" customHeight="1"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6"/>
      <c r="P917" s="6"/>
      <c r="Q917" s="6"/>
      <c r="R917" s="6"/>
      <c r="S917" s="32"/>
      <c r="T917" s="32"/>
      <c r="U917" s="6"/>
      <c r="W917" s="32"/>
      <c r="X917" s="32"/>
      <c r="Y917" s="32"/>
      <c r="Z917" s="32"/>
      <c r="AA917" s="32"/>
      <c r="AB917" s="32"/>
      <c r="AC917" s="32"/>
      <c r="AD917" s="32"/>
      <c r="AE917" s="32"/>
    </row>
    <row r="918" ht="15.75" customHeight="1"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6"/>
      <c r="P918" s="6"/>
      <c r="Q918" s="6"/>
      <c r="R918" s="6"/>
      <c r="S918" s="32"/>
      <c r="T918" s="32"/>
      <c r="U918" s="6"/>
      <c r="W918" s="32"/>
      <c r="X918" s="32"/>
      <c r="Y918" s="32"/>
      <c r="Z918" s="32"/>
      <c r="AA918" s="32"/>
      <c r="AB918" s="32"/>
      <c r="AC918" s="32"/>
      <c r="AD918" s="32"/>
      <c r="AE918" s="32"/>
    </row>
    <row r="919" ht="15.75" customHeight="1"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6"/>
      <c r="P919" s="6"/>
      <c r="Q919" s="6"/>
      <c r="R919" s="6"/>
      <c r="S919" s="32"/>
      <c r="T919" s="32"/>
      <c r="U919" s="6"/>
      <c r="W919" s="32"/>
      <c r="X919" s="32"/>
      <c r="Y919" s="32"/>
      <c r="Z919" s="32"/>
      <c r="AA919" s="32"/>
      <c r="AB919" s="32"/>
      <c r="AC919" s="32"/>
      <c r="AD919" s="32"/>
      <c r="AE919" s="32"/>
    </row>
    <row r="920" ht="15.75" customHeight="1"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6"/>
      <c r="P920" s="6"/>
      <c r="Q920" s="6"/>
      <c r="R920" s="6"/>
      <c r="S920" s="32"/>
      <c r="T920" s="32"/>
      <c r="U920" s="6"/>
      <c r="W920" s="32"/>
      <c r="X920" s="32"/>
      <c r="Y920" s="32"/>
      <c r="Z920" s="32"/>
      <c r="AA920" s="32"/>
      <c r="AB920" s="32"/>
      <c r="AC920" s="32"/>
      <c r="AD920" s="32"/>
      <c r="AE920" s="32"/>
    </row>
    <row r="921" ht="15.75" customHeight="1"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6"/>
      <c r="P921" s="6"/>
      <c r="Q921" s="6"/>
      <c r="R921" s="6"/>
      <c r="S921" s="32"/>
      <c r="T921" s="32"/>
      <c r="U921" s="6"/>
      <c r="W921" s="32"/>
      <c r="X921" s="32"/>
      <c r="Y921" s="32"/>
      <c r="Z921" s="32"/>
      <c r="AA921" s="32"/>
      <c r="AB921" s="32"/>
      <c r="AC921" s="32"/>
      <c r="AD921" s="32"/>
      <c r="AE921" s="32"/>
    </row>
    <row r="922" ht="15.75" customHeight="1"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6"/>
      <c r="P922" s="6"/>
      <c r="Q922" s="6"/>
      <c r="R922" s="6"/>
      <c r="S922" s="32"/>
      <c r="T922" s="32"/>
      <c r="U922" s="6"/>
      <c r="W922" s="32"/>
      <c r="X922" s="32"/>
      <c r="Y922" s="32"/>
      <c r="Z922" s="32"/>
      <c r="AA922" s="32"/>
      <c r="AB922" s="32"/>
      <c r="AC922" s="32"/>
      <c r="AD922" s="32"/>
      <c r="AE922" s="32"/>
    </row>
    <row r="923" ht="15.75" customHeight="1"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6"/>
      <c r="P923" s="6"/>
      <c r="Q923" s="6"/>
      <c r="R923" s="6"/>
      <c r="S923" s="32"/>
      <c r="T923" s="32"/>
      <c r="U923" s="6"/>
      <c r="W923" s="32"/>
      <c r="X923" s="32"/>
      <c r="Y923" s="32"/>
      <c r="Z923" s="32"/>
      <c r="AA923" s="32"/>
      <c r="AB923" s="32"/>
      <c r="AC923" s="32"/>
      <c r="AD923" s="32"/>
      <c r="AE923" s="32"/>
    </row>
    <row r="924" ht="15.75" customHeight="1"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6"/>
      <c r="P924" s="6"/>
      <c r="Q924" s="6"/>
      <c r="R924" s="6"/>
      <c r="S924" s="32"/>
      <c r="T924" s="32"/>
      <c r="U924" s="6"/>
      <c r="W924" s="32"/>
      <c r="X924" s="32"/>
      <c r="Y924" s="32"/>
      <c r="Z924" s="32"/>
      <c r="AA924" s="32"/>
      <c r="AB924" s="32"/>
      <c r="AC924" s="32"/>
      <c r="AD924" s="32"/>
      <c r="AE924" s="32"/>
    </row>
    <row r="925" ht="15.75" customHeight="1"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6"/>
      <c r="P925" s="6"/>
      <c r="Q925" s="6"/>
      <c r="R925" s="6"/>
      <c r="S925" s="32"/>
      <c r="T925" s="32"/>
      <c r="U925" s="6"/>
      <c r="W925" s="32"/>
      <c r="X925" s="32"/>
      <c r="Y925" s="32"/>
      <c r="Z925" s="32"/>
      <c r="AA925" s="32"/>
      <c r="AB925" s="32"/>
      <c r="AC925" s="32"/>
      <c r="AD925" s="32"/>
      <c r="AE925" s="32"/>
    </row>
    <row r="926" ht="15.75" customHeight="1"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6"/>
      <c r="P926" s="6"/>
      <c r="Q926" s="6"/>
      <c r="R926" s="6"/>
      <c r="S926" s="32"/>
      <c r="T926" s="32"/>
      <c r="U926" s="6"/>
      <c r="W926" s="32"/>
      <c r="X926" s="32"/>
      <c r="Y926" s="32"/>
      <c r="Z926" s="32"/>
      <c r="AA926" s="32"/>
      <c r="AB926" s="32"/>
      <c r="AC926" s="32"/>
      <c r="AD926" s="32"/>
      <c r="AE926" s="32"/>
    </row>
    <row r="927" ht="15.75" customHeight="1"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6"/>
      <c r="P927" s="6"/>
      <c r="Q927" s="6"/>
      <c r="R927" s="6"/>
      <c r="S927" s="32"/>
      <c r="T927" s="32"/>
      <c r="U927" s="6"/>
      <c r="W927" s="32"/>
      <c r="X927" s="32"/>
      <c r="Y927" s="32"/>
      <c r="Z927" s="32"/>
      <c r="AA927" s="32"/>
      <c r="AB927" s="32"/>
      <c r="AC927" s="32"/>
      <c r="AD927" s="32"/>
      <c r="AE927" s="32"/>
    </row>
    <row r="928" ht="15.75" customHeight="1"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6"/>
      <c r="P928" s="6"/>
      <c r="Q928" s="6"/>
      <c r="R928" s="6"/>
      <c r="S928" s="32"/>
      <c r="T928" s="32"/>
      <c r="U928" s="6"/>
      <c r="W928" s="32"/>
      <c r="X928" s="32"/>
      <c r="Y928" s="32"/>
      <c r="Z928" s="32"/>
      <c r="AA928" s="32"/>
      <c r="AB928" s="32"/>
      <c r="AC928" s="32"/>
      <c r="AD928" s="32"/>
      <c r="AE928" s="32"/>
    </row>
    <row r="929" ht="15.75" customHeight="1"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6"/>
      <c r="P929" s="6"/>
      <c r="Q929" s="6"/>
      <c r="R929" s="6"/>
      <c r="S929" s="32"/>
      <c r="T929" s="32"/>
      <c r="U929" s="6"/>
      <c r="W929" s="32"/>
      <c r="X929" s="32"/>
      <c r="Y929" s="32"/>
      <c r="Z929" s="32"/>
      <c r="AA929" s="32"/>
      <c r="AB929" s="32"/>
      <c r="AC929" s="32"/>
      <c r="AD929" s="32"/>
      <c r="AE929" s="32"/>
    </row>
    <row r="930" ht="15.75" customHeight="1"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6"/>
      <c r="P930" s="6"/>
      <c r="Q930" s="6"/>
      <c r="R930" s="6"/>
      <c r="S930" s="32"/>
      <c r="T930" s="32"/>
      <c r="U930" s="6"/>
      <c r="W930" s="32"/>
      <c r="X930" s="32"/>
      <c r="Y930" s="32"/>
      <c r="Z930" s="32"/>
      <c r="AA930" s="32"/>
      <c r="AB930" s="32"/>
      <c r="AC930" s="32"/>
      <c r="AD930" s="32"/>
      <c r="AE930" s="32"/>
    </row>
    <row r="931" ht="15.75" customHeight="1"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6"/>
      <c r="P931" s="6"/>
      <c r="Q931" s="6"/>
      <c r="R931" s="6"/>
      <c r="S931" s="32"/>
      <c r="T931" s="32"/>
      <c r="U931" s="6"/>
      <c r="W931" s="32"/>
      <c r="X931" s="32"/>
      <c r="Y931" s="32"/>
      <c r="Z931" s="32"/>
      <c r="AA931" s="32"/>
      <c r="AB931" s="32"/>
      <c r="AC931" s="32"/>
      <c r="AD931" s="32"/>
      <c r="AE931" s="32"/>
    </row>
    <row r="932" ht="15.75" customHeight="1"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6"/>
      <c r="P932" s="6"/>
      <c r="Q932" s="6"/>
      <c r="R932" s="6"/>
      <c r="S932" s="32"/>
      <c r="T932" s="32"/>
      <c r="U932" s="6"/>
      <c r="W932" s="32"/>
      <c r="X932" s="32"/>
      <c r="Y932" s="32"/>
      <c r="Z932" s="32"/>
      <c r="AA932" s="32"/>
      <c r="AB932" s="32"/>
      <c r="AC932" s="32"/>
      <c r="AD932" s="32"/>
      <c r="AE932" s="32"/>
    </row>
    <row r="933" ht="15.75" customHeight="1"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6"/>
      <c r="P933" s="6"/>
      <c r="Q933" s="6"/>
      <c r="R933" s="6"/>
      <c r="S933" s="32"/>
      <c r="T933" s="32"/>
      <c r="U933" s="6"/>
      <c r="W933" s="32"/>
      <c r="X933" s="32"/>
      <c r="Y933" s="32"/>
      <c r="Z933" s="32"/>
      <c r="AA933" s="32"/>
      <c r="AB933" s="32"/>
      <c r="AC933" s="32"/>
      <c r="AD933" s="32"/>
      <c r="AE933" s="32"/>
    </row>
    <row r="934" ht="15.75" customHeight="1"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6"/>
      <c r="P934" s="6"/>
      <c r="Q934" s="6"/>
      <c r="R934" s="6"/>
      <c r="S934" s="32"/>
      <c r="T934" s="32"/>
      <c r="U934" s="6"/>
      <c r="W934" s="32"/>
      <c r="X934" s="32"/>
      <c r="Y934" s="32"/>
      <c r="Z934" s="32"/>
      <c r="AA934" s="32"/>
      <c r="AB934" s="32"/>
      <c r="AC934" s="32"/>
      <c r="AD934" s="32"/>
      <c r="AE934" s="32"/>
    </row>
    <row r="935" ht="15.75" customHeight="1"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6"/>
      <c r="P935" s="6"/>
      <c r="Q935" s="6"/>
      <c r="R935" s="6"/>
      <c r="S935" s="32"/>
      <c r="T935" s="32"/>
      <c r="U935" s="6"/>
      <c r="W935" s="32"/>
      <c r="X935" s="32"/>
      <c r="Y935" s="32"/>
      <c r="Z935" s="32"/>
      <c r="AA935" s="32"/>
      <c r="AB935" s="32"/>
      <c r="AC935" s="32"/>
      <c r="AD935" s="32"/>
      <c r="AE935" s="32"/>
    </row>
    <row r="936" ht="15.75" customHeight="1"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6"/>
      <c r="P936" s="6"/>
      <c r="Q936" s="6"/>
      <c r="R936" s="6"/>
      <c r="S936" s="32"/>
      <c r="T936" s="32"/>
      <c r="U936" s="6"/>
      <c r="W936" s="32"/>
      <c r="X936" s="32"/>
      <c r="Y936" s="32"/>
      <c r="Z936" s="32"/>
      <c r="AA936" s="32"/>
      <c r="AB936" s="32"/>
      <c r="AC936" s="32"/>
      <c r="AD936" s="32"/>
      <c r="AE936" s="32"/>
    </row>
    <row r="937" ht="15.75" customHeight="1"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6"/>
      <c r="P937" s="6"/>
      <c r="Q937" s="6"/>
      <c r="R937" s="6"/>
      <c r="S937" s="32"/>
      <c r="T937" s="32"/>
      <c r="U937" s="6"/>
      <c r="W937" s="32"/>
      <c r="X937" s="32"/>
      <c r="Y937" s="32"/>
      <c r="Z937" s="32"/>
      <c r="AA937" s="32"/>
      <c r="AB937" s="32"/>
      <c r="AC937" s="32"/>
      <c r="AD937" s="32"/>
      <c r="AE937" s="32"/>
    </row>
    <row r="938" ht="15.75" customHeight="1"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6"/>
      <c r="P938" s="6"/>
      <c r="Q938" s="6"/>
      <c r="R938" s="6"/>
      <c r="S938" s="32"/>
      <c r="T938" s="32"/>
      <c r="U938" s="6"/>
      <c r="W938" s="32"/>
      <c r="X938" s="32"/>
      <c r="Y938" s="32"/>
      <c r="Z938" s="32"/>
      <c r="AA938" s="32"/>
      <c r="AB938" s="32"/>
      <c r="AC938" s="32"/>
      <c r="AD938" s="32"/>
      <c r="AE938" s="32"/>
    </row>
    <row r="939" ht="15.75" customHeight="1"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6"/>
      <c r="P939" s="6"/>
      <c r="Q939" s="6"/>
      <c r="R939" s="6"/>
      <c r="S939" s="32"/>
      <c r="T939" s="32"/>
      <c r="U939" s="6"/>
      <c r="W939" s="32"/>
      <c r="X939" s="32"/>
      <c r="Y939" s="32"/>
      <c r="Z939" s="32"/>
      <c r="AA939" s="32"/>
      <c r="AB939" s="32"/>
      <c r="AC939" s="32"/>
      <c r="AD939" s="32"/>
      <c r="AE939" s="32"/>
    </row>
    <row r="940" ht="15.75" customHeight="1"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6"/>
      <c r="P940" s="6"/>
      <c r="Q940" s="6"/>
      <c r="R940" s="6"/>
      <c r="S940" s="32"/>
      <c r="T940" s="32"/>
      <c r="U940" s="6"/>
      <c r="W940" s="32"/>
      <c r="X940" s="32"/>
      <c r="Y940" s="32"/>
      <c r="Z940" s="32"/>
      <c r="AA940" s="32"/>
      <c r="AB940" s="32"/>
      <c r="AC940" s="32"/>
      <c r="AD940" s="32"/>
      <c r="AE940" s="32"/>
    </row>
    <row r="941" ht="15.75" customHeight="1"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6"/>
      <c r="P941" s="6"/>
      <c r="Q941" s="6"/>
      <c r="R941" s="6"/>
      <c r="S941" s="32"/>
      <c r="T941" s="32"/>
      <c r="U941" s="6"/>
      <c r="W941" s="32"/>
      <c r="X941" s="32"/>
      <c r="Y941" s="32"/>
      <c r="Z941" s="32"/>
      <c r="AA941" s="32"/>
      <c r="AB941" s="32"/>
      <c r="AC941" s="32"/>
      <c r="AD941" s="32"/>
      <c r="AE941" s="32"/>
    </row>
    <row r="942" ht="15.75" customHeight="1"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6"/>
      <c r="P942" s="6"/>
      <c r="Q942" s="6"/>
      <c r="R942" s="6"/>
      <c r="S942" s="32"/>
      <c r="T942" s="32"/>
      <c r="U942" s="6"/>
      <c r="W942" s="32"/>
      <c r="X942" s="32"/>
      <c r="Y942" s="32"/>
      <c r="Z942" s="32"/>
      <c r="AA942" s="32"/>
      <c r="AB942" s="32"/>
      <c r="AC942" s="32"/>
      <c r="AD942" s="32"/>
      <c r="AE942" s="32"/>
    </row>
    <row r="943" ht="15.75" customHeight="1"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6"/>
      <c r="P943" s="6"/>
      <c r="Q943" s="6"/>
      <c r="R943" s="6"/>
      <c r="S943" s="32"/>
      <c r="T943" s="32"/>
      <c r="U943" s="6"/>
      <c r="W943" s="32"/>
      <c r="X943" s="32"/>
      <c r="Y943" s="32"/>
      <c r="Z943" s="32"/>
      <c r="AA943" s="32"/>
      <c r="AB943" s="32"/>
      <c r="AC943" s="32"/>
      <c r="AD943" s="32"/>
      <c r="AE943" s="32"/>
    </row>
    <row r="944" ht="15.75" customHeight="1"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6"/>
      <c r="P944" s="6"/>
      <c r="Q944" s="6"/>
      <c r="R944" s="6"/>
      <c r="S944" s="32"/>
      <c r="T944" s="32"/>
      <c r="U944" s="6"/>
      <c r="W944" s="32"/>
      <c r="X944" s="32"/>
      <c r="Y944" s="32"/>
      <c r="Z944" s="32"/>
      <c r="AA944" s="32"/>
      <c r="AB944" s="32"/>
      <c r="AC944" s="32"/>
      <c r="AD944" s="32"/>
      <c r="AE944" s="32"/>
    </row>
    <row r="945" ht="15.75" customHeight="1"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6"/>
      <c r="P945" s="6"/>
      <c r="Q945" s="6"/>
      <c r="R945" s="6"/>
      <c r="S945" s="32"/>
      <c r="T945" s="32"/>
      <c r="U945" s="6"/>
      <c r="W945" s="32"/>
      <c r="X945" s="32"/>
      <c r="Y945" s="32"/>
      <c r="Z945" s="32"/>
      <c r="AA945" s="32"/>
      <c r="AB945" s="32"/>
      <c r="AC945" s="32"/>
      <c r="AD945" s="32"/>
      <c r="AE945" s="32"/>
    </row>
    <row r="946" ht="15.75" customHeight="1"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6"/>
      <c r="P946" s="6"/>
      <c r="Q946" s="6"/>
      <c r="R946" s="6"/>
      <c r="S946" s="32"/>
      <c r="T946" s="32"/>
      <c r="U946" s="6"/>
      <c r="W946" s="32"/>
      <c r="X946" s="32"/>
      <c r="Y946" s="32"/>
      <c r="Z946" s="32"/>
      <c r="AA946" s="32"/>
      <c r="AB946" s="32"/>
      <c r="AC946" s="32"/>
      <c r="AD946" s="32"/>
      <c r="AE946" s="32"/>
    </row>
    <row r="947" ht="15.75" customHeight="1"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6"/>
      <c r="P947" s="6"/>
      <c r="Q947" s="6"/>
      <c r="R947" s="6"/>
      <c r="S947" s="32"/>
      <c r="T947" s="32"/>
      <c r="U947" s="6"/>
      <c r="W947" s="32"/>
      <c r="X947" s="32"/>
      <c r="Y947" s="32"/>
      <c r="Z947" s="32"/>
      <c r="AA947" s="32"/>
      <c r="AB947" s="32"/>
      <c r="AC947" s="32"/>
      <c r="AD947" s="32"/>
      <c r="AE947" s="32"/>
    </row>
    <row r="948" ht="15.75" customHeight="1"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6"/>
      <c r="P948" s="6"/>
      <c r="Q948" s="6"/>
      <c r="R948" s="6"/>
      <c r="S948" s="32"/>
      <c r="T948" s="32"/>
      <c r="U948" s="6"/>
      <c r="W948" s="32"/>
      <c r="X948" s="32"/>
      <c r="Y948" s="32"/>
      <c r="Z948" s="32"/>
      <c r="AA948" s="32"/>
      <c r="AB948" s="32"/>
      <c r="AC948" s="32"/>
      <c r="AD948" s="32"/>
      <c r="AE948" s="32"/>
    </row>
    <row r="949" ht="15.75" customHeight="1"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6"/>
      <c r="P949" s="6"/>
      <c r="Q949" s="6"/>
      <c r="R949" s="6"/>
      <c r="S949" s="32"/>
      <c r="T949" s="32"/>
      <c r="U949" s="6"/>
      <c r="W949" s="32"/>
      <c r="X949" s="32"/>
      <c r="Y949" s="32"/>
      <c r="Z949" s="32"/>
      <c r="AA949" s="32"/>
      <c r="AB949" s="32"/>
      <c r="AC949" s="32"/>
      <c r="AD949" s="32"/>
      <c r="AE949" s="32"/>
    </row>
    <row r="950" ht="15.75" customHeight="1"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6"/>
      <c r="P950" s="6"/>
      <c r="Q950" s="6"/>
      <c r="R950" s="6"/>
      <c r="S950" s="32"/>
      <c r="T950" s="32"/>
      <c r="U950" s="6"/>
      <c r="W950" s="32"/>
      <c r="X950" s="32"/>
      <c r="Y950" s="32"/>
      <c r="Z950" s="32"/>
      <c r="AA950" s="32"/>
      <c r="AB950" s="32"/>
      <c r="AC950" s="32"/>
      <c r="AD950" s="32"/>
      <c r="AE950" s="32"/>
    </row>
    <row r="951" ht="15.75" customHeight="1"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6"/>
      <c r="P951" s="6"/>
      <c r="Q951" s="6"/>
      <c r="R951" s="6"/>
      <c r="S951" s="32"/>
      <c r="T951" s="32"/>
      <c r="U951" s="6"/>
      <c r="W951" s="32"/>
      <c r="X951" s="32"/>
      <c r="Y951" s="32"/>
      <c r="Z951" s="32"/>
      <c r="AA951" s="32"/>
      <c r="AB951" s="32"/>
      <c r="AC951" s="32"/>
      <c r="AD951" s="32"/>
      <c r="AE951" s="32"/>
    </row>
    <row r="952" ht="15.75" customHeight="1"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6"/>
      <c r="P952" s="6"/>
      <c r="Q952" s="6"/>
      <c r="R952" s="6"/>
      <c r="S952" s="32"/>
      <c r="T952" s="32"/>
      <c r="U952" s="6"/>
      <c r="W952" s="32"/>
      <c r="X952" s="32"/>
      <c r="Y952" s="32"/>
      <c r="Z952" s="32"/>
      <c r="AA952" s="32"/>
      <c r="AB952" s="32"/>
      <c r="AC952" s="32"/>
      <c r="AD952" s="32"/>
      <c r="AE952" s="32"/>
    </row>
    <row r="953" ht="15.75" customHeight="1"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6"/>
      <c r="P953" s="6"/>
      <c r="Q953" s="6"/>
      <c r="R953" s="6"/>
      <c r="S953" s="32"/>
      <c r="T953" s="32"/>
      <c r="U953" s="6"/>
      <c r="W953" s="32"/>
      <c r="X953" s="32"/>
      <c r="Y953" s="32"/>
      <c r="Z953" s="32"/>
      <c r="AA953" s="32"/>
      <c r="AB953" s="32"/>
      <c r="AC953" s="32"/>
      <c r="AD953" s="32"/>
      <c r="AE953" s="32"/>
    </row>
    <row r="954" ht="15.75" customHeight="1"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6"/>
      <c r="P954" s="6"/>
      <c r="Q954" s="6"/>
      <c r="R954" s="6"/>
      <c r="S954" s="32"/>
      <c r="T954" s="32"/>
      <c r="U954" s="6"/>
      <c r="W954" s="32"/>
      <c r="X954" s="32"/>
      <c r="Y954" s="32"/>
      <c r="Z954" s="32"/>
      <c r="AA954" s="32"/>
      <c r="AB954" s="32"/>
      <c r="AC954" s="32"/>
      <c r="AD954" s="32"/>
      <c r="AE954" s="32"/>
    </row>
    <row r="955" ht="15.75" customHeight="1"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6"/>
      <c r="P955" s="6"/>
      <c r="Q955" s="6"/>
      <c r="R955" s="6"/>
      <c r="S955" s="32"/>
      <c r="T955" s="32"/>
      <c r="U955" s="6"/>
      <c r="W955" s="32"/>
      <c r="X955" s="32"/>
      <c r="Y955" s="32"/>
      <c r="Z955" s="32"/>
      <c r="AA955" s="32"/>
      <c r="AB955" s="32"/>
      <c r="AC955" s="32"/>
      <c r="AD955" s="32"/>
      <c r="AE955" s="32"/>
    </row>
    <row r="956" ht="15.75" customHeight="1"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6"/>
      <c r="P956" s="6"/>
      <c r="Q956" s="6"/>
      <c r="R956" s="6"/>
      <c r="S956" s="32"/>
      <c r="T956" s="32"/>
      <c r="U956" s="6"/>
      <c r="W956" s="32"/>
      <c r="X956" s="32"/>
      <c r="Y956" s="32"/>
      <c r="Z956" s="32"/>
      <c r="AA956" s="32"/>
      <c r="AB956" s="32"/>
      <c r="AC956" s="32"/>
      <c r="AD956" s="32"/>
      <c r="AE956" s="32"/>
    </row>
    <row r="957" ht="15.75" customHeight="1"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6"/>
      <c r="P957" s="6"/>
      <c r="Q957" s="6"/>
      <c r="R957" s="6"/>
      <c r="S957" s="32"/>
      <c r="T957" s="32"/>
      <c r="U957" s="6"/>
      <c r="W957" s="32"/>
      <c r="X957" s="32"/>
      <c r="Y957" s="32"/>
      <c r="Z957" s="32"/>
      <c r="AA957" s="32"/>
      <c r="AB957" s="32"/>
      <c r="AC957" s="32"/>
      <c r="AD957" s="32"/>
      <c r="AE957" s="32"/>
    </row>
    <row r="958" ht="15.75" customHeight="1"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6"/>
      <c r="P958" s="6"/>
      <c r="Q958" s="6"/>
      <c r="R958" s="6"/>
      <c r="S958" s="32"/>
      <c r="T958" s="32"/>
      <c r="U958" s="6"/>
      <c r="W958" s="32"/>
      <c r="X958" s="32"/>
      <c r="Y958" s="32"/>
      <c r="Z958" s="32"/>
      <c r="AA958" s="32"/>
      <c r="AB958" s="32"/>
      <c r="AC958" s="32"/>
      <c r="AD958" s="32"/>
      <c r="AE958" s="32"/>
    </row>
    <row r="959" ht="15.75" customHeight="1"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6"/>
      <c r="P959" s="6"/>
      <c r="Q959" s="6"/>
      <c r="R959" s="6"/>
      <c r="S959" s="32"/>
      <c r="T959" s="32"/>
      <c r="U959" s="6"/>
      <c r="W959" s="32"/>
      <c r="X959" s="32"/>
      <c r="Y959" s="32"/>
      <c r="Z959" s="32"/>
      <c r="AA959" s="32"/>
      <c r="AB959" s="32"/>
      <c r="AC959" s="32"/>
      <c r="AD959" s="32"/>
      <c r="AE959" s="32"/>
    </row>
    <row r="960" ht="15.75" customHeight="1"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6"/>
      <c r="P960" s="6"/>
      <c r="Q960" s="6"/>
      <c r="R960" s="6"/>
      <c r="S960" s="32"/>
      <c r="T960" s="32"/>
      <c r="U960" s="6"/>
      <c r="W960" s="32"/>
      <c r="X960" s="32"/>
      <c r="Y960" s="32"/>
      <c r="Z960" s="32"/>
      <c r="AA960" s="32"/>
      <c r="AB960" s="32"/>
      <c r="AC960" s="32"/>
      <c r="AD960" s="32"/>
      <c r="AE960" s="32"/>
    </row>
    <row r="961" ht="15.75" customHeight="1"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6"/>
      <c r="P961" s="6"/>
      <c r="Q961" s="6"/>
      <c r="R961" s="6"/>
      <c r="S961" s="32"/>
      <c r="T961" s="32"/>
      <c r="U961" s="6"/>
      <c r="W961" s="32"/>
      <c r="X961" s="32"/>
      <c r="Y961" s="32"/>
      <c r="Z961" s="32"/>
      <c r="AA961" s="32"/>
      <c r="AB961" s="32"/>
      <c r="AC961" s="32"/>
      <c r="AD961" s="32"/>
      <c r="AE961" s="32"/>
    </row>
    <row r="962" ht="15.75" customHeight="1"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6"/>
      <c r="P962" s="6"/>
      <c r="Q962" s="6"/>
      <c r="R962" s="6"/>
      <c r="S962" s="32"/>
      <c r="T962" s="32"/>
      <c r="U962" s="6"/>
      <c r="W962" s="32"/>
      <c r="X962" s="32"/>
      <c r="Y962" s="32"/>
      <c r="Z962" s="32"/>
      <c r="AA962" s="32"/>
      <c r="AB962" s="32"/>
      <c r="AC962" s="32"/>
      <c r="AD962" s="32"/>
      <c r="AE962" s="32"/>
    </row>
    <row r="963" ht="15.75" customHeight="1"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6"/>
      <c r="P963" s="6"/>
      <c r="Q963" s="6"/>
      <c r="R963" s="6"/>
      <c r="S963" s="32"/>
      <c r="T963" s="32"/>
      <c r="U963" s="6"/>
      <c r="W963" s="32"/>
      <c r="X963" s="32"/>
      <c r="Y963" s="32"/>
      <c r="Z963" s="32"/>
      <c r="AA963" s="32"/>
      <c r="AB963" s="32"/>
      <c r="AC963" s="32"/>
      <c r="AD963" s="32"/>
      <c r="AE963" s="32"/>
    </row>
    <row r="964" ht="15.75" customHeight="1"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6"/>
      <c r="P964" s="6"/>
      <c r="Q964" s="6"/>
      <c r="R964" s="6"/>
      <c r="S964" s="32"/>
      <c r="T964" s="32"/>
      <c r="U964" s="6"/>
      <c r="W964" s="32"/>
      <c r="X964" s="32"/>
      <c r="Y964" s="32"/>
      <c r="Z964" s="32"/>
      <c r="AA964" s="32"/>
      <c r="AB964" s="32"/>
      <c r="AC964" s="32"/>
      <c r="AD964" s="32"/>
      <c r="AE964" s="32"/>
    </row>
    <row r="965" ht="15.75" customHeight="1"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6"/>
      <c r="P965" s="6"/>
      <c r="Q965" s="6"/>
      <c r="R965" s="6"/>
      <c r="S965" s="32"/>
      <c r="T965" s="32"/>
      <c r="U965" s="6"/>
      <c r="W965" s="32"/>
      <c r="X965" s="32"/>
      <c r="Y965" s="32"/>
      <c r="Z965" s="32"/>
      <c r="AA965" s="32"/>
      <c r="AB965" s="32"/>
      <c r="AC965" s="32"/>
      <c r="AD965" s="32"/>
      <c r="AE965" s="32"/>
    </row>
    <row r="966" ht="15.75" customHeight="1"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6"/>
      <c r="P966" s="6"/>
      <c r="Q966" s="6"/>
      <c r="R966" s="6"/>
      <c r="S966" s="32"/>
      <c r="T966" s="32"/>
      <c r="U966" s="6"/>
      <c r="W966" s="32"/>
      <c r="X966" s="32"/>
      <c r="Y966" s="32"/>
      <c r="Z966" s="32"/>
      <c r="AA966" s="32"/>
      <c r="AB966" s="32"/>
      <c r="AC966" s="32"/>
      <c r="AD966" s="32"/>
      <c r="AE966" s="32"/>
    </row>
    <row r="967" ht="15.75" customHeight="1"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6"/>
      <c r="P967" s="6"/>
      <c r="Q967" s="6"/>
      <c r="R967" s="6"/>
      <c r="S967" s="32"/>
      <c r="T967" s="32"/>
      <c r="U967" s="6"/>
      <c r="W967" s="32"/>
      <c r="X967" s="32"/>
      <c r="Y967" s="32"/>
      <c r="Z967" s="32"/>
      <c r="AA967" s="32"/>
      <c r="AB967" s="32"/>
      <c r="AC967" s="32"/>
      <c r="AD967" s="32"/>
      <c r="AE967" s="32"/>
    </row>
    <row r="968" ht="15.75" customHeight="1"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6"/>
      <c r="P968" s="6"/>
      <c r="Q968" s="6"/>
      <c r="R968" s="6"/>
      <c r="S968" s="32"/>
      <c r="T968" s="32"/>
      <c r="U968" s="6"/>
      <c r="W968" s="32"/>
      <c r="X968" s="32"/>
      <c r="Y968" s="32"/>
      <c r="Z968" s="32"/>
      <c r="AA968" s="32"/>
      <c r="AB968" s="32"/>
      <c r="AC968" s="32"/>
      <c r="AD968" s="32"/>
      <c r="AE968" s="32"/>
    </row>
    <row r="969" ht="15.75" customHeight="1"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6"/>
      <c r="P969" s="6"/>
      <c r="Q969" s="6"/>
      <c r="R969" s="6"/>
      <c r="S969" s="32"/>
      <c r="T969" s="32"/>
      <c r="U969" s="6"/>
      <c r="W969" s="32"/>
      <c r="X969" s="32"/>
      <c r="Y969" s="32"/>
      <c r="Z969" s="32"/>
      <c r="AA969" s="32"/>
      <c r="AB969" s="32"/>
      <c r="AC969" s="32"/>
      <c r="AD969" s="32"/>
      <c r="AE969" s="32"/>
    </row>
    <row r="970" ht="15.75" customHeight="1"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6"/>
      <c r="P970" s="6"/>
      <c r="Q970" s="6"/>
      <c r="R970" s="6"/>
      <c r="S970" s="32"/>
      <c r="T970" s="32"/>
      <c r="U970" s="6"/>
      <c r="W970" s="32"/>
      <c r="X970" s="32"/>
      <c r="Y970" s="32"/>
      <c r="Z970" s="32"/>
      <c r="AA970" s="32"/>
      <c r="AB970" s="32"/>
      <c r="AC970" s="32"/>
      <c r="AD970" s="32"/>
      <c r="AE970" s="32"/>
    </row>
    <row r="971" ht="15.75" customHeight="1"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6"/>
      <c r="P971" s="6"/>
      <c r="Q971" s="6"/>
      <c r="R971" s="6"/>
      <c r="S971" s="32"/>
      <c r="T971" s="32"/>
      <c r="U971" s="6"/>
      <c r="W971" s="32"/>
      <c r="X971" s="32"/>
      <c r="Y971" s="32"/>
      <c r="Z971" s="32"/>
      <c r="AA971" s="32"/>
      <c r="AB971" s="32"/>
      <c r="AC971" s="32"/>
      <c r="AD971" s="32"/>
      <c r="AE971" s="32"/>
    </row>
    <row r="972" ht="15.75" customHeight="1"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6"/>
      <c r="P972" s="6"/>
      <c r="Q972" s="6"/>
      <c r="R972" s="6"/>
      <c r="S972" s="32"/>
      <c r="T972" s="32"/>
      <c r="U972" s="6"/>
      <c r="W972" s="32"/>
      <c r="X972" s="32"/>
      <c r="Y972" s="32"/>
      <c r="Z972" s="32"/>
      <c r="AA972" s="32"/>
      <c r="AB972" s="32"/>
      <c r="AC972" s="32"/>
      <c r="AD972" s="32"/>
      <c r="AE972" s="32"/>
    </row>
    <row r="973" ht="15.75" customHeight="1"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6"/>
      <c r="P973" s="6"/>
      <c r="Q973" s="6"/>
      <c r="R973" s="6"/>
      <c r="S973" s="32"/>
      <c r="T973" s="32"/>
      <c r="U973" s="6"/>
      <c r="W973" s="32"/>
      <c r="X973" s="32"/>
      <c r="Y973" s="32"/>
      <c r="Z973" s="32"/>
      <c r="AA973" s="32"/>
      <c r="AB973" s="32"/>
      <c r="AC973" s="32"/>
      <c r="AD973" s="32"/>
      <c r="AE973" s="32"/>
    </row>
    <row r="974" ht="15.75" customHeight="1"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6"/>
      <c r="P974" s="6"/>
      <c r="Q974" s="6"/>
      <c r="R974" s="6"/>
      <c r="S974" s="32"/>
      <c r="T974" s="32"/>
      <c r="U974" s="6"/>
      <c r="W974" s="32"/>
      <c r="X974" s="32"/>
      <c r="Y974" s="32"/>
      <c r="Z974" s="32"/>
      <c r="AA974" s="32"/>
      <c r="AB974" s="32"/>
      <c r="AC974" s="32"/>
      <c r="AD974" s="32"/>
      <c r="AE974" s="32"/>
    </row>
    <row r="975" ht="15.75" customHeight="1"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6"/>
      <c r="P975" s="6"/>
      <c r="Q975" s="6"/>
      <c r="R975" s="6"/>
      <c r="S975" s="32"/>
      <c r="T975" s="32"/>
      <c r="U975" s="6"/>
      <c r="W975" s="32"/>
      <c r="X975" s="32"/>
      <c r="Y975" s="32"/>
      <c r="Z975" s="32"/>
      <c r="AA975" s="32"/>
      <c r="AB975" s="32"/>
      <c r="AC975" s="32"/>
      <c r="AD975" s="32"/>
      <c r="AE975" s="32"/>
    </row>
    <row r="976" ht="15.75" customHeight="1"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6"/>
      <c r="P976" s="6"/>
      <c r="Q976" s="6"/>
      <c r="R976" s="6"/>
      <c r="S976" s="32"/>
      <c r="T976" s="32"/>
      <c r="U976" s="6"/>
      <c r="W976" s="32"/>
      <c r="X976" s="32"/>
      <c r="Y976" s="32"/>
      <c r="Z976" s="32"/>
      <c r="AA976" s="32"/>
      <c r="AB976" s="32"/>
      <c r="AC976" s="32"/>
      <c r="AD976" s="32"/>
      <c r="AE976" s="32"/>
    </row>
    <row r="977" ht="15.75" customHeight="1"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6"/>
      <c r="P977" s="6"/>
      <c r="Q977" s="6"/>
      <c r="R977" s="6"/>
      <c r="S977" s="32"/>
      <c r="T977" s="32"/>
      <c r="U977" s="6"/>
      <c r="W977" s="32"/>
      <c r="X977" s="32"/>
      <c r="Y977" s="32"/>
      <c r="Z977" s="32"/>
      <c r="AA977" s="32"/>
      <c r="AB977" s="32"/>
      <c r="AC977" s="32"/>
      <c r="AD977" s="32"/>
      <c r="AE977" s="32"/>
    </row>
    <row r="978" ht="15.75" customHeight="1"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6"/>
      <c r="P978" s="6"/>
      <c r="Q978" s="6"/>
      <c r="R978" s="6"/>
      <c r="S978" s="32"/>
      <c r="T978" s="32"/>
      <c r="U978" s="6"/>
      <c r="W978" s="32"/>
      <c r="X978" s="32"/>
      <c r="Y978" s="32"/>
      <c r="Z978" s="32"/>
      <c r="AA978" s="32"/>
      <c r="AB978" s="32"/>
      <c r="AC978" s="32"/>
      <c r="AD978" s="32"/>
      <c r="AE978" s="32"/>
    </row>
    <row r="979" ht="15.75" customHeight="1"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6"/>
      <c r="P979" s="6"/>
      <c r="Q979" s="6"/>
      <c r="R979" s="6"/>
      <c r="S979" s="32"/>
      <c r="T979" s="32"/>
      <c r="U979" s="6"/>
      <c r="W979" s="32"/>
      <c r="X979" s="32"/>
      <c r="Y979" s="32"/>
      <c r="Z979" s="32"/>
      <c r="AA979" s="32"/>
      <c r="AB979" s="32"/>
      <c r="AC979" s="32"/>
      <c r="AD979" s="32"/>
      <c r="AE979" s="32"/>
    </row>
    <row r="980" ht="15.75" customHeight="1"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6"/>
      <c r="P980" s="6"/>
      <c r="Q980" s="6"/>
      <c r="R980" s="6"/>
      <c r="S980" s="32"/>
      <c r="T980" s="32"/>
      <c r="U980" s="6"/>
      <c r="W980" s="32"/>
      <c r="X980" s="32"/>
      <c r="Y980" s="32"/>
      <c r="Z980" s="32"/>
      <c r="AA980" s="32"/>
      <c r="AB980" s="32"/>
      <c r="AC980" s="32"/>
      <c r="AD980" s="32"/>
      <c r="AE980" s="32"/>
    </row>
    <row r="981" ht="15.75" customHeight="1"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6"/>
      <c r="P981" s="6"/>
      <c r="Q981" s="6"/>
      <c r="R981" s="6"/>
      <c r="S981" s="32"/>
      <c r="T981" s="32"/>
      <c r="U981" s="6"/>
      <c r="W981" s="32"/>
      <c r="X981" s="32"/>
      <c r="Y981" s="32"/>
      <c r="Z981" s="32"/>
      <c r="AA981" s="32"/>
      <c r="AB981" s="32"/>
      <c r="AC981" s="32"/>
      <c r="AD981" s="32"/>
      <c r="AE981" s="32"/>
    </row>
    <row r="982" ht="15.75" customHeight="1"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6"/>
      <c r="P982" s="6"/>
      <c r="Q982" s="6"/>
      <c r="R982" s="6"/>
      <c r="S982" s="32"/>
      <c r="T982" s="32"/>
      <c r="U982" s="6"/>
      <c r="W982" s="32"/>
      <c r="X982" s="32"/>
      <c r="Y982" s="32"/>
      <c r="Z982" s="32"/>
      <c r="AA982" s="32"/>
      <c r="AB982" s="32"/>
      <c r="AC982" s="32"/>
      <c r="AD982" s="32"/>
      <c r="AE982" s="32"/>
    </row>
    <row r="983" ht="15.75" customHeight="1"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6"/>
      <c r="P983" s="6"/>
      <c r="Q983" s="6"/>
      <c r="R983" s="6"/>
      <c r="S983" s="32"/>
      <c r="T983" s="32"/>
      <c r="U983" s="6"/>
      <c r="W983" s="32"/>
      <c r="X983" s="32"/>
      <c r="Y983" s="32"/>
      <c r="Z983" s="32"/>
      <c r="AA983" s="32"/>
      <c r="AB983" s="32"/>
      <c r="AC983" s="32"/>
      <c r="AD983" s="32"/>
      <c r="AE983" s="32"/>
    </row>
    <row r="984" ht="15.75" customHeight="1"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6"/>
      <c r="P984" s="6"/>
      <c r="Q984" s="6"/>
      <c r="R984" s="6"/>
      <c r="S984" s="32"/>
      <c r="T984" s="32"/>
      <c r="U984" s="6"/>
      <c r="W984" s="32"/>
      <c r="X984" s="32"/>
      <c r="Y984" s="32"/>
      <c r="Z984" s="32"/>
      <c r="AA984" s="32"/>
      <c r="AB984" s="32"/>
      <c r="AC984" s="32"/>
      <c r="AD984" s="32"/>
      <c r="AE984" s="32"/>
    </row>
    <row r="985" ht="15.75" customHeight="1"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6"/>
      <c r="P985" s="6"/>
      <c r="Q985" s="6"/>
      <c r="R985" s="6"/>
      <c r="S985" s="32"/>
      <c r="T985" s="32"/>
      <c r="U985" s="6"/>
      <c r="W985" s="32"/>
      <c r="X985" s="32"/>
      <c r="Y985" s="32"/>
      <c r="Z985" s="32"/>
      <c r="AA985" s="32"/>
      <c r="AB985" s="32"/>
      <c r="AC985" s="32"/>
      <c r="AD985" s="32"/>
      <c r="AE985" s="32"/>
    </row>
    <row r="986" ht="15.75" customHeight="1"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6"/>
      <c r="P986" s="6"/>
      <c r="Q986" s="6"/>
      <c r="R986" s="6"/>
      <c r="S986" s="32"/>
      <c r="T986" s="32"/>
      <c r="U986" s="6"/>
      <c r="W986" s="32"/>
      <c r="X986" s="32"/>
      <c r="Y986" s="32"/>
      <c r="Z986" s="32"/>
      <c r="AA986" s="32"/>
      <c r="AB986" s="32"/>
      <c r="AC986" s="32"/>
      <c r="AD986" s="32"/>
      <c r="AE986" s="32"/>
    </row>
    <row r="987" ht="15.75" customHeight="1"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6"/>
      <c r="P987" s="6"/>
      <c r="Q987" s="6"/>
      <c r="R987" s="6"/>
      <c r="S987" s="32"/>
      <c r="T987" s="32"/>
      <c r="U987" s="6"/>
      <c r="W987" s="32"/>
      <c r="X987" s="32"/>
      <c r="Y987" s="32"/>
      <c r="Z987" s="32"/>
      <c r="AA987" s="32"/>
      <c r="AB987" s="32"/>
      <c r="AC987" s="32"/>
      <c r="AD987" s="32"/>
      <c r="AE987" s="32"/>
    </row>
    <row r="988" ht="15.75" customHeight="1"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6"/>
      <c r="P988" s="6"/>
      <c r="Q988" s="6"/>
      <c r="R988" s="6"/>
      <c r="S988" s="32"/>
      <c r="T988" s="32"/>
      <c r="U988" s="6"/>
      <c r="W988" s="32"/>
      <c r="X988" s="32"/>
      <c r="Y988" s="32"/>
      <c r="Z988" s="32"/>
      <c r="AA988" s="32"/>
      <c r="AB988" s="32"/>
      <c r="AC988" s="32"/>
      <c r="AD988" s="32"/>
      <c r="AE988" s="32"/>
    </row>
    <row r="989" ht="15.75" customHeight="1"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6"/>
      <c r="P989" s="6"/>
      <c r="Q989" s="6"/>
      <c r="R989" s="6"/>
      <c r="S989" s="32"/>
      <c r="T989" s="32"/>
      <c r="U989" s="6"/>
      <c r="W989" s="32"/>
      <c r="X989" s="32"/>
      <c r="Y989" s="32"/>
      <c r="Z989" s="32"/>
      <c r="AA989" s="32"/>
      <c r="AB989" s="32"/>
      <c r="AC989" s="32"/>
      <c r="AD989" s="32"/>
      <c r="AE989" s="32"/>
    </row>
    <row r="990" ht="15.75" customHeight="1"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6"/>
      <c r="P990" s="6"/>
      <c r="Q990" s="6"/>
      <c r="R990" s="6"/>
      <c r="S990" s="32"/>
      <c r="T990" s="32"/>
      <c r="U990" s="6"/>
      <c r="W990" s="32"/>
      <c r="X990" s="32"/>
      <c r="Y990" s="32"/>
      <c r="Z990" s="32"/>
      <c r="AA990" s="32"/>
      <c r="AB990" s="32"/>
      <c r="AC990" s="32"/>
      <c r="AD990" s="32"/>
      <c r="AE990" s="32"/>
    </row>
    <row r="991" ht="15.75" customHeight="1"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6"/>
      <c r="P991" s="6"/>
      <c r="Q991" s="6"/>
      <c r="R991" s="6"/>
      <c r="S991" s="32"/>
      <c r="T991" s="32"/>
      <c r="U991" s="6"/>
      <c r="W991" s="32"/>
      <c r="X991" s="32"/>
      <c r="Y991" s="32"/>
      <c r="Z991" s="32"/>
      <c r="AA991" s="32"/>
      <c r="AB991" s="32"/>
      <c r="AC991" s="32"/>
      <c r="AD991" s="32"/>
      <c r="AE991" s="32"/>
    </row>
    <row r="992" ht="15.75" customHeight="1"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6"/>
      <c r="P992" s="6"/>
      <c r="Q992" s="6"/>
      <c r="R992" s="6"/>
      <c r="S992" s="32"/>
      <c r="T992" s="32"/>
      <c r="U992" s="6"/>
      <c r="W992" s="32"/>
      <c r="X992" s="32"/>
      <c r="Y992" s="32"/>
      <c r="Z992" s="32"/>
      <c r="AA992" s="32"/>
      <c r="AB992" s="32"/>
      <c r="AC992" s="32"/>
      <c r="AD992" s="32"/>
      <c r="AE992" s="32"/>
    </row>
    <row r="993" ht="15.75" customHeight="1"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6"/>
      <c r="P993" s="6"/>
      <c r="Q993" s="6"/>
      <c r="R993" s="6"/>
      <c r="S993" s="32"/>
      <c r="T993" s="32"/>
      <c r="U993" s="6"/>
      <c r="W993" s="32"/>
      <c r="X993" s="32"/>
      <c r="Y993" s="32"/>
      <c r="Z993" s="32"/>
      <c r="AA993" s="32"/>
      <c r="AB993" s="32"/>
      <c r="AC993" s="32"/>
      <c r="AD993" s="32"/>
      <c r="AE993" s="32"/>
    </row>
    <row r="994" ht="15.75" customHeight="1"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6"/>
      <c r="P994" s="6"/>
      <c r="Q994" s="6"/>
      <c r="R994" s="6"/>
      <c r="S994" s="32"/>
      <c r="T994" s="32"/>
      <c r="U994" s="6"/>
      <c r="W994" s="32"/>
      <c r="X994" s="32"/>
      <c r="Y994" s="32"/>
      <c r="Z994" s="32"/>
      <c r="AA994" s="32"/>
      <c r="AB994" s="32"/>
      <c r="AC994" s="32"/>
      <c r="AD994" s="32"/>
      <c r="AE994" s="32"/>
    </row>
    <row r="995" ht="15.75" customHeight="1"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6"/>
      <c r="P995" s="6"/>
      <c r="Q995" s="6"/>
      <c r="R995" s="6"/>
      <c r="S995" s="32"/>
      <c r="T995" s="32"/>
      <c r="U995" s="6"/>
      <c r="W995" s="32"/>
      <c r="X995" s="32"/>
      <c r="Y995" s="32"/>
      <c r="Z995" s="32"/>
      <c r="AA995" s="32"/>
      <c r="AB995" s="32"/>
      <c r="AC995" s="32"/>
      <c r="AD995" s="32"/>
      <c r="AE995" s="32"/>
    </row>
    <row r="996" ht="15.75" customHeight="1"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6"/>
      <c r="P996" s="6"/>
      <c r="Q996" s="6"/>
      <c r="R996" s="6"/>
      <c r="S996" s="32"/>
      <c r="T996" s="32"/>
      <c r="U996" s="6"/>
      <c r="W996" s="32"/>
      <c r="X996" s="32"/>
      <c r="Y996" s="32"/>
      <c r="Z996" s="32"/>
      <c r="AA996" s="32"/>
      <c r="AB996" s="32"/>
      <c r="AC996" s="32"/>
      <c r="AD996" s="32"/>
      <c r="AE996" s="32"/>
    </row>
    <row r="997" ht="15.75" customHeight="1"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6"/>
      <c r="P997" s="6"/>
      <c r="Q997" s="6"/>
      <c r="R997" s="6"/>
      <c r="S997" s="32"/>
      <c r="T997" s="32"/>
      <c r="U997" s="6"/>
      <c r="W997" s="32"/>
      <c r="X997" s="32"/>
      <c r="Y997" s="32"/>
      <c r="Z997" s="32"/>
      <c r="AA997" s="32"/>
      <c r="AB997" s="32"/>
      <c r="AC997" s="32"/>
      <c r="AD997" s="32"/>
      <c r="AE997" s="32"/>
    </row>
    <row r="998" ht="15.75" customHeight="1"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6"/>
      <c r="P998" s="6"/>
      <c r="Q998" s="6"/>
      <c r="R998" s="6"/>
      <c r="S998" s="32"/>
      <c r="T998" s="32"/>
      <c r="U998" s="6"/>
      <c r="W998" s="32"/>
      <c r="X998" s="32"/>
      <c r="Y998" s="32"/>
      <c r="Z998" s="32"/>
      <c r="AA998" s="32"/>
      <c r="AB998" s="32"/>
      <c r="AC998" s="32"/>
      <c r="AD998" s="32"/>
      <c r="AE998" s="32"/>
    </row>
    <row r="999" ht="15.75" customHeight="1"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6"/>
      <c r="P999" s="6"/>
      <c r="Q999" s="6"/>
      <c r="R999" s="6"/>
      <c r="S999" s="32"/>
      <c r="T999" s="32"/>
      <c r="U999" s="6"/>
      <c r="W999" s="32"/>
      <c r="X999" s="32"/>
      <c r="Y999" s="32"/>
      <c r="Z999" s="32"/>
      <c r="AA999" s="32"/>
      <c r="AB999" s="32"/>
      <c r="AC999" s="32"/>
      <c r="AD999" s="32"/>
      <c r="AE999" s="32"/>
    </row>
    <row r="1000" ht="15.75" customHeight="1"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6"/>
      <c r="P1000" s="6"/>
      <c r="Q1000" s="6"/>
      <c r="R1000" s="6"/>
      <c r="S1000" s="32"/>
      <c r="T1000" s="32"/>
      <c r="U1000" s="6"/>
      <c r="W1000" s="32"/>
      <c r="X1000" s="32"/>
      <c r="Y1000" s="32"/>
      <c r="Z1000" s="32"/>
      <c r="AA1000" s="32"/>
      <c r="AB1000" s="32"/>
      <c r="AC1000" s="32"/>
      <c r="AD1000" s="32"/>
      <c r="AE1000" s="3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21.71"/>
    <col customWidth="1" min="3" max="3" width="8.57"/>
    <col customWidth="1" min="4" max="4" width="14.43"/>
    <col customWidth="1" min="5" max="5" width="15.43"/>
    <col customWidth="1" min="6" max="6" width="14.43"/>
    <col customWidth="1" min="7" max="10" width="15.43"/>
    <col customWidth="1" min="11" max="11" width="14.43"/>
    <col customWidth="1" min="12" max="12" width="15.43"/>
    <col customWidth="1" min="13" max="14" width="14.43"/>
    <col customWidth="1" min="15" max="15" width="14.0"/>
    <col customWidth="1" min="16" max="16" width="13.29"/>
    <col customWidth="1" min="17" max="17" width="14.43"/>
    <col customWidth="1" min="18" max="18" width="18.86"/>
    <col customWidth="1" min="19" max="19" width="16.57"/>
    <col customWidth="1" min="20" max="26" width="8.71"/>
  </cols>
  <sheetData>
    <row r="1">
      <c r="A1" s="57" t="s">
        <v>8</v>
      </c>
      <c r="B1" s="58" t="s">
        <v>9</v>
      </c>
      <c r="C1" s="59">
        <v>2010.0</v>
      </c>
      <c r="D1" s="60">
        <v>2011.0</v>
      </c>
      <c r="E1" s="60">
        <v>2012.0</v>
      </c>
      <c r="F1" s="60">
        <v>2013.0</v>
      </c>
      <c r="G1" s="60">
        <v>2014.0</v>
      </c>
      <c r="H1" s="60">
        <v>2015.0</v>
      </c>
      <c r="I1" s="60">
        <v>2016.0</v>
      </c>
      <c r="J1" s="60">
        <v>2017.0</v>
      </c>
      <c r="K1" s="60">
        <v>2018.0</v>
      </c>
      <c r="L1" s="60">
        <v>2019.0</v>
      </c>
      <c r="M1" s="60">
        <v>2020.0</v>
      </c>
      <c r="N1" s="60">
        <v>2021.0</v>
      </c>
      <c r="O1" s="59">
        <v>2022.0</v>
      </c>
      <c r="P1" s="60">
        <v>2023.0</v>
      </c>
      <c r="Q1" s="60">
        <v>2024.0</v>
      </c>
      <c r="R1" s="60">
        <v>2025.0</v>
      </c>
      <c r="S1" s="61">
        <v>2026.0</v>
      </c>
    </row>
    <row r="2">
      <c r="A2" s="24">
        <v>2.611606019E9</v>
      </c>
      <c r="B2" s="24" t="s">
        <v>39</v>
      </c>
      <c r="C2" s="24">
        <v>4996.0</v>
      </c>
      <c r="D2" s="27">
        <f t="shared" ref="D2:D95" si="1">(C2/$C$97)*$D$97</f>
        <v>5058.162589</v>
      </c>
      <c r="E2" s="27">
        <f t="shared" ref="E2:E95" si="2">D2*(1+$E$98)</f>
        <v>5086.038614</v>
      </c>
      <c r="F2" s="27">
        <f t="shared" ref="F2:F95" si="3">E2*(1+$F$98)</f>
        <v>5231.498941</v>
      </c>
      <c r="G2" s="27">
        <f t="shared" ref="G2:G95" si="4">F2*(1+$G$98)</f>
        <v>5260.853316</v>
      </c>
      <c r="H2" s="27">
        <f t="shared" ref="H2:H95" si="5">G2*(1+$H$98)</f>
        <v>5289.291899</v>
      </c>
      <c r="I2" s="27">
        <f t="shared" ref="I2:I95" si="6">H2*(1+$I$98)</f>
        <v>5316.76563</v>
      </c>
      <c r="J2" s="27">
        <f t="shared" ref="J2:J95" si="7">I2*(1+$J$98)</f>
        <v>5343.303947</v>
      </c>
      <c r="K2" s="27">
        <f t="shared" ref="K2:K95" si="8">J2*(1+$K$98)</f>
        <v>5356.83476</v>
      </c>
      <c r="L2" s="27">
        <f t="shared" ref="L2:L95" si="9">K2*(1+$L$98)</f>
        <v>5382.650256</v>
      </c>
      <c r="M2" s="27">
        <f t="shared" ref="M2:M95" si="10">L2*(1+$M$98)</f>
        <v>5407.945713</v>
      </c>
      <c r="N2" s="27">
        <f t="shared" ref="N2:N95" si="11">M2*(1+$N$98)</f>
        <v>5432.658989</v>
      </c>
      <c r="O2" s="24">
        <v>2915.0</v>
      </c>
      <c r="P2" s="32">
        <f t="shared" ref="P2:P95" si="12">O2</f>
        <v>2915</v>
      </c>
      <c r="Q2" s="27">
        <f t="shared" ref="Q2:Q95" si="13">P2*(1+$Q$98)</f>
        <v>3108.404686</v>
      </c>
      <c r="R2" s="27">
        <f t="shared" ref="R2:R95" si="14">Q2*(1+$R$98)</f>
        <v>3109.714451</v>
      </c>
      <c r="S2" s="27">
        <f t="shared" ref="S2:S95" si="15">R2*(1+$S$98)</f>
        <v>3111.024767</v>
      </c>
    </row>
    <row r="3">
      <c r="A3" s="24">
        <v>2.611606043E9</v>
      </c>
      <c r="B3" s="24" t="s">
        <v>40</v>
      </c>
      <c r="C3" s="24">
        <v>3332.0</v>
      </c>
      <c r="D3" s="27">
        <f t="shared" si="1"/>
        <v>3373.458316</v>
      </c>
      <c r="E3" s="27">
        <f t="shared" si="2"/>
        <v>3392.049773</v>
      </c>
      <c r="F3" s="27">
        <f t="shared" si="3"/>
        <v>3489.062144</v>
      </c>
      <c r="G3" s="27">
        <f t="shared" si="4"/>
        <v>3508.639561</v>
      </c>
      <c r="H3" s="27">
        <f t="shared" si="5"/>
        <v>3527.606206</v>
      </c>
      <c r="I3" s="27">
        <f t="shared" si="6"/>
        <v>3545.92936</v>
      </c>
      <c r="J3" s="27">
        <f t="shared" si="7"/>
        <v>3563.628653</v>
      </c>
      <c r="K3" s="27">
        <f t="shared" si="8"/>
        <v>3572.652806</v>
      </c>
      <c r="L3" s="27">
        <f t="shared" si="9"/>
        <v>3589.870026</v>
      </c>
      <c r="M3" s="27">
        <f t="shared" si="10"/>
        <v>3606.740415</v>
      </c>
      <c r="N3" s="27">
        <f t="shared" si="11"/>
        <v>3623.222528</v>
      </c>
      <c r="O3" s="24">
        <v>2523.0</v>
      </c>
      <c r="P3" s="32">
        <f t="shared" si="12"/>
        <v>2523</v>
      </c>
      <c r="Q3" s="27">
        <f t="shared" si="13"/>
        <v>2690.396234</v>
      </c>
      <c r="R3" s="27">
        <f t="shared" si="14"/>
        <v>2691.529866</v>
      </c>
      <c r="S3" s="27">
        <f t="shared" si="15"/>
        <v>2692.663975</v>
      </c>
    </row>
    <row r="4">
      <c r="A4" s="24">
        <v>2.611606033E9</v>
      </c>
      <c r="B4" s="24" t="s">
        <v>41</v>
      </c>
      <c r="C4" s="24">
        <v>6584.0</v>
      </c>
      <c r="D4" s="27">
        <f t="shared" si="1"/>
        <v>6665.921234</v>
      </c>
      <c r="E4" s="27">
        <f t="shared" si="2"/>
        <v>6702.657774</v>
      </c>
      <c r="F4" s="27">
        <f t="shared" si="3"/>
        <v>6894.353289</v>
      </c>
      <c r="G4" s="27">
        <f t="shared" si="4"/>
        <v>6933.038076</v>
      </c>
      <c r="H4" s="27">
        <f t="shared" si="5"/>
        <v>6970.515985</v>
      </c>
      <c r="I4" s="27">
        <f t="shared" si="6"/>
        <v>7006.72236</v>
      </c>
      <c r="J4" s="27">
        <f t="shared" si="7"/>
        <v>7041.695994</v>
      </c>
      <c r="K4" s="27">
        <f t="shared" si="8"/>
        <v>7059.527634</v>
      </c>
      <c r="L4" s="27">
        <f t="shared" si="9"/>
        <v>7093.548696</v>
      </c>
      <c r="M4" s="27">
        <f t="shared" si="10"/>
        <v>7126.884422</v>
      </c>
      <c r="N4" s="27">
        <f t="shared" si="11"/>
        <v>7159.452919</v>
      </c>
      <c r="O4" s="24">
        <v>5062.0</v>
      </c>
      <c r="P4" s="32">
        <f t="shared" si="12"/>
        <v>5062</v>
      </c>
      <c r="Q4" s="27">
        <f t="shared" si="13"/>
        <v>5397.854038</v>
      </c>
      <c r="R4" s="27">
        <f t="shared" si="14"/>
        <v>5400.12849</v>
      </c>
      <c r="S4" s="27">
        <f t="shared" si="15"/>
        <v>5402.403901</v>
      </c>
    </row>
    <row r="5">
      <c r="A5" s="24">
        <v>2.611606008E9</v>
      </c>
      <c r="B5" s="24" t="s">
        <v>42</v>
      </c>
      <c r="C5" s="24">
        <v>7625.0</v>
      </c>
      <c r="D5" s="27">
        <f t="shared" si="1"/>
        <v>7719.873847</v>
      </c>
      <c r="E5" s="27">
        <f t="shared" si="2"/>
        <v>7762.418822</v>
      </c>
      <c r="F5" s="27">
        <f t="shared" si="3"/>
        <v>7984.423424</v>
      </c>
      <c r="G5" s="27">
        <f t="shared" si="4"/>
        <v>8029.224686</v>
      </c>
      <c r="H5" s="27">
        <f t="shared" si="5"/>
        <v>8072.628248</v>
      </c>
      <c r="I5" s="27">
        <f t="shared" si="6"/>
        <v>8114.559234</v>
      </c>
      <c r="J5" s="27">
        <f t="shared" si="7"/>
        <v>8155.062569</v>
      </c>
      <c r="K5" s="27">
        <f t="shared" si="8"/>
        <v>8175.71358</v>
      </c>
      <c r="L5" s="27">
        <f t="shared" si="9"/>
        <v>8215.113731</v>
      </c>
      <c r="M5" s="27">
        <f t="shared" si="10"/>
        <v>8253.720188</v>
      </c>
      <c r="N5" s="27">
        <f t="shared" si="11"/>
        <v>8291.438108</v>
      </c>
      <c r="O5" s="24">
        <v>5923.0</v>
      </c>
      <c r="P5" s="32">
        <f t="shared" si="12"/>
        <v>5923</v>
      </c>
      <c r="Q5" s="27">
        <f t="shared" si="13"/>
        <v>6315.979744</v>
      </c>
      <c r="R5" s="27">
        <f t="shared" si="14"/>
        <v>6318.641061</v>
      </c>
      <c r="S5" s="27">
        <f t="shared" si="15"/>
        <v>6321.303498</v>
      </c>
    </row>
    <row r="6">
      <c r="A6" s="24">
        <v>2.611606061E9</v>
      </c>
      <c r="B6" s="24" t="s">
        <v>43</v>
      </c>
      <c r="C6" s="24">
        <v>6032.0</v>
      </c>
      <c r="D6" s="27">
        <f t="shared" si="1"/>
        <v>6107.05299</v>
      </c>
      <c r="E6" s="27">
        <f t="shared" si="2"/>
        <v>6140.709552</v>
      </c>
      <c r="F6" s="27">
        <f t="shared" si="3"/>
        <v>6316.33339</v>
      </c>
      <c r="G6" s="27">
        <f t="shared" si="4"/>
        <v>6351.77486</v>
      </c>
      <c r="H6" s="27">
        <f t="shared" si="5"/>
        <v>6386.110635</v>
      </c>
      <c r="I6" s="27">
        <f t="shared" si="6"/>
        <v>6419.281482</v>
      </c>
      <c r="J6" s="27">
        <f t="shared" si="7"/>
        <v>6451.32294</v>
      </c>
      <c r="K6" s="27">
        <f t="shared" si="8"/>
        <v>6467.659582</v>
      </c>
      <c r="L6" s="27">
        <f t="shared" si="9"/>
        <v>6498.828331</v>
      </c>
      <c r="M6" s="27">
        <f t="shared" si="10"/>
        <v>6529.369203</v>
      </c>
      <c r="N6" s="27">
        <f t="shared" si="11"/>
        <v>6559.20717</v>
      </c>
      <c r="O6" s="24">
        <v>4763.0</v>
      </c>
      <c r="P6" s="32">
        <f t="shared" si="12"/>
        <v>4763</v>
      </c>
      <c r="Q6" s="27">
        <f t="shared" si="13"/>
        <v>5079.015959</v>
      </c>
      <c r="R6" s="27">
        <f t="shared" si="14"/>
        <v>5081.156065</v>
      </c>
      <c r="S6" s="27">
        <f t="shared" si="15"/>
        <v>5083.297073</v>
      </c>
    </row>
    <row r="7">
      <c r="A7" s="24">
        <v>2.611606023E9</v>
      </c>
      <c r="B7" s="24" t="s">
        <v>44</v>
      </c>
      <c r="C7" s="24">
        <v>2626.0</v>
      </c>
      <c r="D7" s="27">
        <f t="shared" si="1"/>
        <v>2658.673931</v>
      </c>
      <c r="E7" s="27">
        <f t="shared" si="2"/>
        <v>2673.326141</v>
      </c>
      <c r="F7" s="27">
        <f t="shared" si="3"/>
        <v>2749.78307</v>
      </c>
      <c r="G7" s="27">
        <f t="shared" si="4"/>
        <v>2765.212331</v>
      </c>
      <c r="H7" s="27">
        <f t="shared" si="5"/>
        <v>2780.160233</v>
      </c>
      <c r="I7" s="27">
        <f t="shared" si="6"/>
        <v>2794.60099</v>
      </c>
      <c r="J7" s="27">
        <f t="shared" si="7"/>
        <v>2808.550073</v>
      </c>
      <c r="K7" s="27">
        <f t="shared" si="8"/>
        <v>2815.662146</v>
      </c>
      <c r="L7" s="27">
        <f t="shared" si="9"/>
        <v>2829.231299</v>
      </c>
      <c r="M7" s="27">
        <f t="shared" si="10"/>
        <v>2842.52711</v>
      </c>
      <c r="N7" s="27">
        <f t="shared" si="11"/>
        <v>2855.516914</v>
      </c>
      <c r="O7" s="24">
        <v>2091.0</v>
      </c>
      <c r="P7" s="32">
        <f t="shared" si="12"/>
        <v>2091</v>
      </c>
      <c r="Q7" s="27">
        <f t="shared" si="13"/>
        <v>2229.733859</v>
      </c>
      <c r="R7" s="27">
        <f t="shared" si="14"/>
        <v>2230.673385</v>
      </c>
      <c r="S7" s="27">
        <f t="shared" si="15"/>
        <v>2231.613307</v>
      </c>
    </row>
    <row r="8">
      <c r="A8" s="24">
        <v>2.61160603E9</v>
      </c>
      <c r="B8" s="24" t="s">
        <v>45</v>
      </c>
      <c r="C8" s="24">
        <v>8854.0</v>
      </c>
      <c r="D8" s="27">
        <f t="shared" si="1"/>
        <v>8964.165645</v>
      </c>
      <c r="E8" s="27">
        <f t="shared" si="2"/>
        <v>9013.568033</v>
      </c>
      <c r="F8" s="27">
        <f t="shared" si="3"/>
        <v>9271.35541</v>
      </c>
      <c r="G8" s="27">
        <f t="shared" si="4"/>
        <v>9323.377753</v>
      </c>
      <c r="H8" s="27">
        <f t="shared" si="5"/>
        <v>9373.777116</v>
      </c>
      <c r="I8" s="27">
        <f t="shared" si="6"/>
        <v>9422.466551</v>
      </c>
      <c r="J8" s="27">
        <f t="shared" si="7"/>
        <v>9469.498228</v>
      </c>
      <c r="K8" s="27">
        <f t="shared" si="8"/>
        <v>9493.477775</v>
      </c>
      <c r="L8" s="27">
        <f t="shared" si="9"/>
        <v>9539.228455</v>
      </c>
      <c r="M8" s="27">
        <f t="shared" si="10"/>
        <v>9584.057515</v>
      </c>
      <c r="N8" s="27">
        <f t="shared" si="11"/>
        <v>9627.854821</v>
      </c>
      <c r="O8" s="24">
        <v>7089.0</v>
      </c>
      <c r="P8" s="32">
        <f t="shared" si="12"/>
        <v>7089</v>
      </c>
      <c r="Q8" s="27">
        <f t="shared" si="13"/>
        <v>7559.341619</v>
      </c>
      <c r="R8" s="27">
        <f t="shared" si="14"/>
        <v>7562.526841</v>
      </c>
      <c r="S8" s="27">
        <f t="shared" si="15"/>
        <v>7565.713405</v>
      </c>
    </row>
    <row r="9">
      <c r="A9" s="24">
        <v>2.611606077E9</v>
      </c>
      <c r="B9" s="24" t="s">
        <v>46</v>
      </c>
      <c r="C9" s="24">
        <v>9237.0</v>
      </c>
      <c r="D9" s="27">
        <f t="shared" si="1"/>
        <v>9351.931111</v>
      </c>
      <c r="E9" s="27">
        <f t="shared" si="2"/>
        <v>9403.470513</v>
      </c>
      <c r="F9" s="27">
        <f t="shared" si="3"/>
        <v>9672.409072</v>
      </c>
      <c r="G9" s="27">
        <f t="shared" si="4"/>
        <v>9726.681761</v>
      </c>
      <c r="H9" s="27">
        <f t="shared" si="5"/>
        <v>9779.261262</v>
      </c>
      <c r="I9" s="27">
        <f t="shared" si="6"/>
        <v>9830.056871</v>
      </c>
      <c r="J9" s="27">
        <f t="shared" si="7"/>
        <v>9879.12301</v>
      </c>
      <c r="K9" s="27">
        <f t="shared" si="8"/>
        <v>9904.139847</v>
      </c>
      <c r="L9" s="27">
        <f t="shared" si="9"/>
        <v>9951.869578</v>
      </c>
      <c r="M9" s="27">
        <f t="shared" si="10"/>
        <v>9998.63782</v>
      </c>
      <c r="N9" s="27">
        <f t="shared" si="11"/>
        <v>10044.32968</v>
      </c>
      <c r="O9" s="24">
        <v>7408.0</v>
      </c>
      <c r="P9" s="32">
        <f t="shared" si="12"/>
        <v>7408</v>
      </c>
      <c r="Q9" s="27">
        <f t="shared" si="13"/>
        <v>7899.50666</v>
      </c>
      <c r="R9" s="27">
        <f t="shared" si="14"/>
        <v>7902.835215</v>
      </c>
      <c r="S9" s="27">
        <f t="shared" si="15"/>
        <v>7906.165172</v>
      </c>
    </row>
    <row r="10">
      <c r="A10" s="24">
        <v>2.611606051E9</v>
      </c>
      <c r="B10" s="24" t="s">
        <v>47</v>
      </c>
      <c r="C10" s="24">
        <v>10169.0</v>
      </c>
      <c r="D10" s="27">
        <f t="shared" si="1"/>
        <v>10295.5275</v>
      </c>
      <c r="E10" s="27">
        <f t="shared" si="2"/>
        <v>10352.26715</v>
      </c>
      <c r="F10" s="27">
        <f t="shared" si="3"/>
        <v>10648.34122</v>
      </c>
      <c r="G10" s="27">
        <f t="shared" si="4"/>
        <v>10708.08995</v>
      </c>
      <c r="H10" s="27">
        <f t="shared" si="5"/>
        <v>10765.97464</v>
      </c>
      <c r="I10" s="27">
        <f t="shared" si="6"/>
        <v>10821.89546</v>
      </c>
      <c r="J10" s="27">
        <f t="shared" si="7"/>
        <v>10875.9123</v>
      </c>
      <c r="K10" s="27">
        <f t="shared" si="8"/>
        <v>10903.4533</v>
      </c>
      <c r="L10" s="27">
        <f t="shared" si="9"/>
        <v>10955.99889</v>
      </c>
      <c r="M10" s="27">
        <f t="shared" si="10"/>
        <v>11007.48598</v>
      </c>
      <c r="N10" s="27">
        <f t="shared" si="11"/>
        <v>11057.78808</v>
      </c>
      <c r="O10" s="24">
        <v>8217.0</v>
      </c>
      <c r="P10" s="32">
        <f t="shared" si="12"/>
        <v>8217</v>
      </c>
      <c r="Q10" s="27">
        <f t="shared" si="13"/>
        <v>8762.182266</v>
      </c>
      <c r="R10" s="27">
        <f t="shared" si="14"/>
        <v>8765.87432</v>
      </c>
      <c r="S10" s="27">
        <f t="shared" si="15"/>
        <v>8769.567929</v>
      </c>
    </row>
    <row r="11">
      <c r="A11" s="24">
        <v>2.61160609E9</v>
      </c>
      <c r="B11" s="24" t="s">
        <v>48</v>
      </c>
      <c r="C11" s="24">
        <v>24986.0</v>
      </c>
      <c r="D11" s="27">
        <f t="shared" si="1"/>
        <v>25296.8876</v>
      </c>
      <c r="E11" s="27">
        <f t="shared" si="2"/>
        <v>25436.30121</v>
      </c>
      <c r="F11" s="27">
        <f t="shared" si="3"/>
        <v>26163.77753</v>
      </c>
      <c r="G11" s="27">
        <f t="shared" si="4"/>
        <v>26310.58466</v>
      </c>
      <c r="H11" s="27">
        <f t="shared" si="5"/>
        <v>26452.81172</v>
      </c>
      <c r="I11" s="27">
        <f t="shared" si="6"/>
        <v>26590.21338</v>
      </c>
      <c r="J11" s="27">
        <f t="shared" si="7"/>
        <v>26722.93683</v>
      </c>
      <c r="K11" s="27">
        <f t="shared" si="8"/>
        <v>26790.60715</v>
      </c>
      <c r="L11" s="27">
        <f t="shared" si="9"/>
        <v>26919.71563</v>
      </c>
      <c r="M11" s="27">
        <f t="shared" si="10"/>
        <v>27046.2233</v>
      </c>
      <c r="N11" s="27">
        <f t="shared" si="11"/>
        <v>27169.81935</v>
      </c>
      <c r="O11" s="24">
        <v>20610.0</v>
      </c>
      <c r="P11" s="32">
        <f t="shared" si="12"/>
        <v>20610</v>
      </c>
      <c r="Q11" s="27">
        <f t="shared" si="13"/>
        <v>21977.43416</v>
      </c>
      <c r="R11" s="27">
        <f t="shared" si="14"/>
        <v>21986.69462</v>
      </c>
      <c r="S11" s="27">
        <f t="shared" si="15"/>
        <v>21995.95899</v>
      </c>
    </row>
    <row r="12">
      <c r="A12" s="24">
        <v>2.61160605E9</v>
      </c>
      <c r="B12" s="24" t="s">
        <v>49</v>
      </c>
      <c r="C12" s="24">
        <v>12453.0</v>
      </c>
      <c r="D12" s="27">
        <f t="shared" si="1"/>
        <v>12607.9461</v>
      </c>
      <c r="E12" s="27">
        <f t="shared" si="2"/>
        <v>12677.42972</v>
      </c>
      <c r="F12" s="27">
        <f t="shared" si="3"/>
        <v>13040.00327</v>
      </c>
      <c r="G12" s="27">
        <f t="shared" si="4"/>
        <v>13113.17181</v>
      </c>
      <c r="H12" s="27">
        <f t="shared" si="5"/>
        <v>13184.05765</v>
      </c>
      <c r="I12" s="27">
        <f t="shared" si="6"/>
        <v>13252.53851</v>
      </c>
      <c r="J12" s="27">
        <f t="shared" si="7"/>
        <v>13318.68776</v>
      </c>
      <c r="K12" s="27">
        <f t="shared" si="8"/>
        <v>13352.41458</v>
      </c>
      <c r="L12" s="27">
        <f t="shared" si="9"/>
        <v>13416.76214</v>
      </c>
      <c r="M12" s="27">
        <f t="shared" si="10"/>
        <v>13479.81344</v>
      </c>
      <c r="N12" s="27">
        <f t="shared" si="11"/>
        <v>13541.41361</v>
      </c>
      <c r="O12" s="24">
        <v>10365.0</v>
      </c>
      <c r="P12" s="32">
        <f t="shared" si="12"/>
        <v>10365</v>
      </c>
      <c r="Q12" s="27">
        <f t="shared" si="13"/>
        <v>11052.69797</v>
      </c>
      <c r="R12" s="27">
        <f t="shared" si="14"/>
        <v>11057.35516</v>
      </c>
      <c r="S12" s="27">
        <f t="shared" si="15"/>
        <v>11062.01431</v>
      </c>
    </row>
    <row r="13">
      <c r="A13" s="24">
        <v>2.611606079E9</v>
      </c>
      <c r="B13" s="24" t="s">
        <v>50</v>
      </c>
      <c r="C13" s="24">
        <v>10458.0</v>
      </c>
      <c r="D13" s="27">
        <f t="shared" si="1"/>
        <v>10588.12337</v>
      </c>
      <c r="E13" s="27">
        <f t="shared" si="2"/>
        <v>10646.47555</v>
      </c>
      <c r="F13" s="27">
        <f t="shared" si="3"/>
        <v>10950.96396</v>
      </c>
      <c r="G13" s="27">
        <f t="shared" si="4"/>
        <v>11012.41072</v>
      </c>
      <c r="H13" s="27">
        <f t="shared" si="5"/>
        <v>11071.94049</v>
      </c>
      <c r="I13" s="27">
        <f t="shared" si="6"/>
        <v>11129.45055</v>
      </c>
      <c r="J13" s="27">
        <f t="shared" si="7"/>
        <v>11185.00254</v>
      </c>
      <c r="K13" s="27">
        <f t="shared" si="8"/>
        <v>11213.32624</v>
      </c>
      <c r="L13" s="27">
        <f t="shared" si="9"/>
        <v>11267.36517</v>
      </c>
      <c r="M13" s="27">
        <f t="shared" si="10"/>
        <v>11320.31551</v>
      </c>
      <c r="N13" s="27">
        <f t="shared" si="11"/>
        <v>11372.04718</v>
      </c>
      <c r="O13" s="24">
        <v>8738.0</v>
      </c>
      <c r="P13" s="32">
        <f t="shared" si="12"/>
        <v>8738</v>
      </c>
      <c r="Q13" s="27">
        <f t="shared" si="13"/>
        <v>9317.749621</v>
      </c>
      <c r="R13" s="27">
        <f t="shared" si="14"/>
        <v>9321.67577</v>
      </c>
      <c r="S13" s="27">
        <f t="shared" si="15"/>
        <v>9325.603574</v>
      </c>
    </row>
    <row r="14">
      <c r="A14" s="24">
        <v>2.611606045E9</v>
      </c>
      <c r="B14" s="24" t="s">
        <v>51</v>
      </c>
      <c r="C14" s="24">
        <v>34204.0</v>
      </c>
      <c r="D14" s="27">
        <f t="shared" si="1"/>
        <v>34629.5823</v>
      </c>
      <c r="E14" s="27">
        <f t="shared" si="2"/>
        <v>34820.4293</v>
      </c>
      <c r="F14" s="27">
        <f t="shared" si="3"/>
        <v>35816.29099</v>
      </c>
      <c r="G14" s="27">
        <f t="shared" si="4"/>
        <v>36017.25917</v>
      </c>
      <c r="H14" s="27">
        <f t="shared" si="5"/>
        <v>36211.95759</v>
      </c>
      <c r="I14" s="27">
        <f t="shared" si="6"/>
        <v>36400.05036</v>
      </c>
      <c r="J14" s="27">
        <f t="shared" si="7"/>
        <v>36581.73903</v>
      </c>
      <c r="K14" s="27">
        <f t="shared" si="8"/>
        <v>36674.37472</v>
      </c>
      <c r="L14" s="27">
        <f t="shared" si="9"/>
        <v>36851.11476</v>
      </c>
      <c r="M14" s="27">
        <f t="shared" si="10"/>
        <v>37024.29447</v>
      </c>
      <c r="N14" s="27">
        <f t="shared" si="11"/>
        <v>37193.4884</v>
      </c>
      <c r="O14" s="24">
        <v>28697.0</v>
      </c>
      <c r="P14" s="32">
        <f t="shared" si="12"/>
        <v>28697</v>
      </c>
      <c r="Q14" s="27">
        <f t="shared" si="13"/>
        <v>30600.99117</v>
      </c>
      <c r="R14" s="27">
        <f t="shared" si="14"/>
        <v>30613.88528</v>
      </c>
      <c r="S14" s="27">
        <f t="shared" si="15"/>
        <v>30626.78482</v>
      </c>
    </row>
    <row r="15">
      <c r="A15" s="24">
        <v>2.611606014E9</v>
      </c>
      <c r="B15" s="24" t="s">
        <v>52</v>
      </c>
      <c r="C15" s="24">
        <v>1591.0</v>
      </c>
      <c r="D15" s="27">
        <f t="shared" si="1"/>
        <v>1610.795973</v>
      </c>
      <c r="E15" s="27">
        <f t="shared" si="2"/>
        <v>1619.673226</v>
      </c>
      <c r="F15" s="27">
        <f t="shared" si="3"/>
        <v>1665.99576</v>
      </c>
      <c r="G15" s="27">
        <f t="shared" si="4"/>
        <v>1675.3438</v>
      </c>
      <c r="H15" s="27">
        <f t="shared" si="5"/>
        <v>1684.400202</v>
      </c>
      <c r="I15" s="27">
        <f t="shared" si="6"/>
        <v>1693.149343</v>
      </c>
      <c r="J15" s="27">
        <f t="shared" si="7"/>
        <v>1701.600596</v>
      </c>
      <c r="K15" s="27">
        <f t="shared" si="8"/>
        <v>1705.909548</v>
      </c>
      <c r="L15" s="27">
        <f t="shared" si="9"/>
        <v>1714.130616</v>
      </c>
      <c r="M15" s="27">
        <f t="shared" si="10"/>
        <v>1722.186075</v>
      </c>
      <c r="N15" s="27">
        <f t="shared" si="11"/>
        <v>1730.056135</v>
      </c>
      <c r="O15" s="24">
        <v>1342.0</v>
      </c>
      <c r="P15" s="32">
        <f t="shared" si="12"/>
        <v>1342</v>
      </c>
      <c r="Q15" s="27">
        <f t="shared" si="13"/>
        <v>1431.039138</v>
      </c>
      <c r="R15" s="27">
        <f t="shared" si="14"/>
        <v>1431.642124</v>
      </c>
      <c r="S15" s="27">
        <f t="shared" si="15"/>
        <v>1432.245365</v>
      </c>
    </row>
    <row r="16">
      <c r="A16" s="24">
        <v>2.611606032E9</v>
      </c>
      <c r="B16" s="24" t="s">
        <v>53</v>
      </c>
      <c r="C16" s="24">
        <v>7694.0</v>
      </c>
      <c r="D16" s="27">
        <f t="shared" si="1"/>
        <v>7789.732378</v>
      </c>
      <c r="E16" s="27">
        <f t="shared" si="2"/>
        <v>7832.66235</v>
      </c>
      <c r="F16" s="27">
        <f t="shared" si="3"/>
        <v>8056.675912</v>
      </c>
      <c r="G16" s="27">
        <f t="shared" si="4"/>
        <v>8101.882588</v>
      </c>
      <c r="H16" s="27">
        <f t="shared" si="5"/>
        <v>8145.678917</v>
      </c>
      <c r="I16" s="27">
        <f t="shared" si="6"/>
        <v>8187.989343</v>
      </c>
      <c r="J16" s="27">
        <f t="shared" si="7"/>
        <v>8228.859201</v>
      </c>
      <c r="K16" s="27">
        <f t="shared" si="8"/>
        <v>8249.697086</v>
      </c>
      <c r="L16" s="27">
        <f t="shared" si="9"/>
        <v>8289.453776</v>
      </c>
      <c r="M16" s="27">
        <f t="shared" si="10"/>
        <v>8328.409591</v>
      </c>
      <c r="N16" s="27">
        <f t="shared" si="11"/>
        <v>8366.468827</v>
      </c>
      <c r="O16" s="24">
        <v>6495.0</v>
      </c>
      <c r="P16" s="32">
        <f t="shared" si="12"/>
        <v>6495</v>
      </c>
      <c r="Q16" s="27">
        <f t="shared" si="13"/>
        <v>6925.930853</v>
      </c>
      <c r="R16" s="27">
        <f t="shared" si="14"/>
        <v>6928.849179</v>
      </c>
      <c r="S16" s="27">
        <f t="shared" si="15"/>
        <v>6931.768736</v>
      </c>
    </row>
    <row r="17">
      <c r="A17" s="24">
        <v>2.611606004E9</v>
      </c>
      <c r="B17" s="24" t="s">
        <v>54</v>
      </c>
      <c r="C17" s="24">
        <v>2459.0</v>
      </c>
      <c r="D17" s="27">
        <f t="shared" si="1"/>
        <v>2489.596038</v>
      </c>
      <c r="E17" s="27">
        <f t="shared" si="2"/>
        <v>2503.316444</v>
      </c>
      <c r="F17" s="27">
        <f t="shared" si="3"/>
        <v>2574.911108</v>
      </c>
      <c r="G17" s="27">
        <f t="shared" si="4"/>
        <v>2589.359148</v>
      </c>
      <c r="H17" s="27">
        <f t="shared" si="5"/>
        <v>2603.356441</v>
      </c>
      <c r="I17" s="27">
        <f t="shared" si="6"/>
        <v>2616.87884</v>
      </c>
      <c r="J17" s="27">
        <f t="shared" si="7"/>
        <v>2629.940834</v>
      </c>
      <c r="K17" s="27">
        <f t="shared" si="8"/>
        <v>2636.600615</v>
      </c>
      <c r="L17" s="27">
        <f t="shared" si="9"/>
        <v>2649.306841</v>
      </c>
      <c r="M17" s="27">
        <f t="shared" si="10"/>
        <v>2661.757107</v>
      </c>
      <c r="N17" s="27">
        <f t="shared" si="11"/>
        <v>2673.920827</v>
      </c>
      <c r="O17" s="24">
        <v>2081.0</v>
      </c>
      <c r="P17" s="32">
        <f t="shared" si="12"/>
        <v>2081</v>
      </c>
      <c r="Q17" s="27">
        <f t="shared" si="13"/>
        <v>2219.070378</v>
      </c>
      <c r="R17" s="27">
        <f t="shared" si="14"/>
        <v>2220.005411</v>
      </c>
      <c r="S17" s="27">
        <f t="shared" si="15"/>
        <v>2220.940837</v>
      </c>
    </row>
    <row r="18">
      <c r="A18" s="24">
        <v>2.611606056E9</v>
      </c>
      <c r="B18" s="24" t="s">
        <v>55</v>
      </c>
      <c r="C18" s="24">
        <v>3027.0</v>
      </c>
      <c r="D18" s="27">
        <f t="shared" si="1"/>
        <v>3064.663362</v>
      </c>
      <c r="E18" s="27">
        <f t="shared" si="2"/>
        <v>3081.55302</v>
      </c>
      <c r="F18" s="27">
        <f t="shared" si="3"/>
        <v>3169.685207</v>
      </c>
      <c r="G18" s="27">
        <f t="shared" si="4"/>
        <v>3187.470574</v>
      </c>
      <c r="H18" s="27">
        <f t="shared" si="5"/>
        <v>3204.701076</v>
      </c>
      <c r="I18" s="27">
        <f t="shared" si="6"/>
        <v>3221.34699</v>
      </c>
      <c r="J18" s="27">
        <f t="shared" si="7"/>
        <v>3237.42615</v>
      </c>
      <c r="K18" s="27">
        <f t="shared" si="8"/>
        <v>3245.624263</v>
      </c>
      <c r="L18" s="27">
        <f t="shared" si="9"/>
        <v>3261.265477</v>
      </c>
      <c r="M18" s="27">
        <f t="shared" si="10"/>
        <v>3276.591608</v>
      </c>
      <c r="N18" s="27">
        <f t="shared" si="11"/>
        <v>3291.565004</v>
      </c>
      <c r="O18" s="24">
        <v>2574.0</v>
      </c>
      <c r="P18" s="32">
        <f t="shared" si="12"/>
        <v>2574</v>
      </c>
      <c r="Q18" s="27">
        <f t="shared" si="13"/>
        <v>2744.779987</v>
      </c>
      <c r="R18" s="27">
        <f t="shared" si="14"/>
        <v>2745.936534</v>
      </c>
      <c r="S18" s="27">
        <f t="shared" si="15"/>
        <v>2747.093568</v>
      </c>
    </row>
    <row r="19">
      <c r="A19" s="24">
        <v>2.611606067E9</v>
      </c>
      <c r="B19" s="24" t="s">
        <v>56</v>
      </c>
      <c r="C19" s="24">
        <v>12415.0</v>
      </c>
      <c r="D19" s="27">
        <f t="shared" si="1"/>
        <v>12569.47329</v>
      </c>
      <c r="E19" s="27">
        <f t="shared" si="2"/>
        <v>12638.74488</v>
      </c>
      <c r="F19" s="27">
        <f t="shared" si="3"/>
        <v>13000.21204</v>
      </c>
      <c r="G19" s="27">
        <f t="shared" si="4"/>
        <v>13073.15731</v>
      </c>
      <c r="H19" s="27">
        <f t="shared" si="5"/>
        <v>13143.82685</v>
      </c>
      <c r="I19" s="27">
        <f t="shared" si="6"/>
        <v>13212.09874</v>
      </c>
      <c r="J19" s="27">
        <f t="shared" si="7"/>
        <v>13278.04614</v>
      </c>
      <c r="K19" s="27">
        <f t="shared" si="8"/>
        <v>13311.67004</v>
      </c>
      <c r="L19" s="27">
        <f t="shared" si="9"/>
        <v>13375.82124</v>
      </c>
      <c r="M19" s="27">
        <f t="shared" si="10"/>
        <v>13438.68015</v>
      </c>
      <c r="N19" s="27">
        <f t="shared" si="11"/>
        <v>13500.09234</v>
      </c>
      <c r="O19" s="24">
        <v>10642.0</v>
      </c>
      <c r="P19" s="32">
        <f t="shared" si="12"/>
        <v>10642</v>
      </c>
      <c r="Q19" s="27">
        <f t="shared" si="13"/>
        <v>11348.07639</v>
      </c>
      <c r="R19" s="27">
        <f t="shared" si="14"/>
        <v>11352.85804</v>
      </c>
      <c r="S19" s="27">
        <f t="shared" si="15"/>
        <v>11357.64171</v>
      </c>
    </row>
    <row r="20">
      <c r="A20" s="24">
        <v>2.611606081E9</v>
      </c>
      <c r="B20" s="24" t="s">
        <v>57</v>
      </c>
      <c r="C20" s="24">
        <v>2419.0</v>
      </c>
      <c r="D20" s="27">
        <f t="shared" si="1"/>
        <v>2449.098339</v>
      </c>
      <c r="E20" s="27">
        <f t="shared" si="2"/>
        <v>2462.595558</v>
      </c>
      <c r="F20" s="27">
        <f t="shared" si="3"/>
        <v>2533.025608</v>
      </c>
      <c r="G20" s="27">
        <f t="shared" si="4"/>
        <v>2547.238625</v>
      </c>
      <c r="H20" s="27">
        <f t="shared" si="5"/>
        <v>2561.008227</v>
      </c>
      <c r="I20" s="27">
        <f t="shared" si="6"/>
        <v>2574.31066</v>
      </c>
      <c r="J20" s="27">
        <f t="shared" si="7"/>
        <v>2587.160178</v>
      </c>
      <c r="K20" s="27">
        <f t="shared" si="8"/>
        <v>2593.711626</v>
      </c>
      <c r="L20" s="27">
        <f t="shared" si="9"/>
        <v>2606.211163</v>
      </c>
      <c r="M20" s="27">
        <f t="shared" si="10"/>
        <v>2618.458903</v>
      </c>
      <c r="N20" s="27">
        <f t="shared" si="11"/>
        <v>2630.424759</v>
      </c>
      <c r="O20" s="24">
        <v>2074.0</v>
      </c>
      <c r="P20" s="32">
        <f t="shared" si="12"/>
        <v>2074</v>
      </c>
      <c r="Q20" s="27">
        <f t="shared" si="13"/>
        <v>2211.605941</v>
      </c>
      <c r="R20" s="27">
        <f t="shared" si="14"/>
        <v>2212.537829</v>
      </c>
      <c r="S20" s="27">
        <f t="shared" si="15"/>
        <v>2213.470109</v>
      </c>
    </row>
    <row r="21" ht="15.75" customHeight="1">
      <c r="A21" s="24">
        <v>2.611606049E9</v>
      </c>
      <c r="B21" s="24" t="s">
        <v>58</v>
      </c>
      <c r="C21" s="24">
        <v>31016.0</v>
      </c>
      <c r="D21" s="27">
        <f t="shared" si="1"/>
        <v>31401.9157</v>
      </c>
      <c r="E21" s="27">
        <f t="shared" si="2"/>
        <v>31574.97471</v>
      </c>
      <c r="F21" s="27">
        <f t="shared" si="3"/>
        <v>32478.01665</v>
      </c>
      <c r="G21" s="27">
        <f t="shared" si="4"/>
        <v>32660.25349</v>
      </c>
      <c r="H21" s="27">
        <f t="shared" si="5"/>
        <v>32836.80495</v>
      </c>
      <c r="I21" s="27">
        <f t="shared" si="6"/>
        <v>33007.36645</v>
      </c>
      <c r="J21" s="27">
        <f t="shared" si="7"/>
        <v>33172.12074</v>
      </c>
      <c r="K21" s="27">
        <f t="shared" si="8"/>
        <v>33256.12228</v>
      </c>
      <c r="L21" s="27">
        <f t="shared" si="9"/>
        <v>33416.38918</v>
      </c>
      <c r="M21" s="27">
        <f t="shared" si="10"/>
        <v>33573.42759</v>
      </c>
      <c r="N21" s="27">
        <f t="shared" si="11"/>
        <v>33726.85172</v>
      </c>
      <c r="O21" s="62">
        <v>26631.0</v>
      </c>
      <c r="P21" s="32">
        <f t="shared" si="12"/>
        <v>26631</v>
      </c>
      <c r="Q21" s="27">
        <f t="shared" si="13"/>
        <v>28397.91602</v>
      </c>
      <c r="R21" s="27">
        <f t="shared" si="14"/>
        <v>28409.88183</v>
      </c>
      <c r="S21" s="27">
        <f t="shared" si="15"/>
        <v>28421.85269</v>
      </c>
    </row>
    <row r="22" ht="15.75" customHeight="1">
      <c r="A22" s="24">
        <v>2.611606031E9</v>
      </c>
      <c r="B22" s="24" t="s">
        <v>59</v>
      </c>
      <c r="C22" s="24">
        <v>7703.0</v>
      </c>
      <c r="D22" s="27">
        <f t="shared" si="1"/>
        <v>7798.84436</v>
      </c>
      <c r="E22" s="27">
        <f t="shared" si="2"/>
        <v>7841.824549</v>
      </c>
      <c r="F22" s="27">
        <f t="shared" si="3"/>
        <v>8066.100149</v>
      </c>
      <c r="G22" s="27">
        <f t="shared" si="4"/>
        <v>8111.359706</v>
      </c>
      <c r="H22" s="27">
        <f t="shared" si="5"/>
        <v>8155.207265</v>
      </c>
      <c r="I22" s="27">
        <f t="shared" si="6"/>
        <v>8197.567184</v>
      </c>
      <c r="J22" s="27">
        <f t="shared" si="7"/>
        <v>8238.484849</v>
      </c>
      <c r="K22" s="27">
        <f t="shared" si="8"/>
        <v>8259.347109</v>
      </c>
      <c r="L22" s="27">
        <f t="shared" si="9"/>
        <v>8299.150304</v>
      </c>
      <c r="M22" s="27">
        <f t="shared" si="10"/>
        <v>8338.151687</v>
      </c>
      <c r="N22" s="27">
        <f t="shared" si="11"/>
        <v>8376.255443</v>
      </c>
      <c r="O22" s="24">
        <v>6620.0</v>
      </c>
      <c r="P22" s="32">
        <f t="shared" si="12"/>
        <v>6620</v>
      </c>
      <c r="Q22" s="27">
        <f t="shared" si="13"/>
        <v>7059.224364</v>
      </c>
      <c r="R22" s="27">
        <f t="shared" si="14"/>
        <v>7062.198856</v>
      </c>
      <c r="S22" s="27">
        <f t="shared" si="15"/>
        <v>7065.1746</v>
      </c>
    </row>
    <row r="23" ht="15.75" customHeight="1">
      <c r="A23" s="24">
        <v>2.611606015E9</v>
      </c>
      <c r="B23" s="24" t="s">
        <v>60</v>
      </c>
      <c r="C23" s="24">
        <v>5768.0</v>
      </c>
      <c r="D23" s="27">
        <f t="shared" si="1"/>
        <v>5839.768177</v>
      </c>
      <c r="E23" s="27">
        <f t="shared" si="2"/>
        <v>5871.951707</v>
      </c>
      <c r="F23" s="27">
        <f t="shared" si="3"/>
        <v>6039.88909</v>
      </c>
      <c r="G23" s="27">
        <f t="shared" si="4"/>
        <v>6073.779408</v>
      </c>
      <c r="H23" s="27">
        <f t="shared" si="5"/>
        <v>6106.612424</v>
      </c>
      <c r="I23" s="27">
        <f t="shared" si="6"/>
        <v>6138.331496</v>
      </c>
      <c r="J23" s="27">
        <f t="shared" si="7"/>
        <v>6168.97061</v>
      </c>
      <c r="K23" s="27">
        <f t="shared" si="8"/>
        <v>6184.592253</v>
      </c>
      <c r="L23" s="27">
        <f t="shared" si="9"/>
        <v>6214.396852</v>
      </c>
      <c r="M23" s="27">
        <f t="shared" si="10"/>
        <v>6243.601055</v>
      </c>
      <c r="N23" s="27">
        <f t="shared" si="11"/>
        <v>6272.133116</v>
      </c>
      <c r="O23" s="24">
        <v>4990.0</v>
      </c>
      <c r="P23" s="32">
        <f t="shared" si="12"/>
        <v>4990</v>
      </c>
      <c r="Q23" s="27">
        <f t="shared" si="13"/>
        <v>5321.076975</v>
      </c>
      <c r="R23" s="27">
        <f t="shared" si="14"/>
        <v>5323.319077</v>
      </c>
      <c r="S23" s="27">
        <f t="shared" si="15"/>
        <v>5325.562123</v>
      </c>
    </row>
    <row r="24" ht="15.75" customHeight="1">
      <c r="A24" s="24">
        <v>2.611606075E9</v>
      </c>
      <c r="B24" s="24" t="s">
        <v>61</v>
      </c>
      <c r="C24" s="24">
        <v>36205.0</v>
      </c>
      <c r="D24" s="27">
        <f t="shared" si="1"/>
        <v>36655.47969</v>
      </c>
      <c r="E24" s="27">
        <f t="shared" si="2"/>
        <v>36857.4916</v>
      </c>
      <c r="F24" s="27">
        <f t="shared" si="3"/>
        <v>37911.61313</v>
      </c>
      <c r="G24" s="27">
        <f t="shared" si="4"/>
        <v>38124.33833</v>
      </c>
      <c r="H24" s="27">
        <f t="shared" si="5"/>
        <v>38330.42698</v>
      </c>
      <c r="I24" s="27">
        <f t="shared" si="6"/>
        <v>38529.52355</v>
      </c>
      <c r="J24" s="27">
        <f t="shared" si="7"/>
        <v>38721.84135</v>
      </c>
      <c r="K24" s="27">
        <f t="shared" si="8"/>
        <v>38819.89641</v>
      </c>
      <c r="L24" s="27">
        <f t="shared" si="9"/>
        <v>39006.97608</v>
      </c>
      <c r="M24" s="27">
        <f t="shared" si="10"/>
        <v>39190.28714</v>
      </c>
      <c r="N24" s="27">
        <f t="shared" si="11"/>
        <v>39369.37924</v>
      </c>
      <c r="O24" s="24">
        <v>31457.0</v>
      </c>
      <c r="P24" s="32">
        <f t="shared" si="12"/>
        <v>31457</v>
      </c>
      <c r="Q24" s="27">
        <f t="shared" si="13"/>
        <v>33544.11191</v>
      </c>
      <c r="R24" s="27">
        <f t="shared" si="14"/>
        <v>33558.24613</v>
      </c>
      <c r="S24" s="27">
        <f t="shared" si="15"/>
        <v>33572.38632</v>
      </c>
    </row>
    <row r="25" ht="15.75" customHeight="1">
      <c r="A25" s="24">
        <v>2.611606065E9</v>
      </c>
      <c r="B25" s="24" t="s">
        <v>62</v>
      </c>
      <c r="C25" s="24">
        <v>8096.0</v>
      </c>
      <c r="D25" s="27">
        <f t="shared" si="1"/>
        <v>8196.734251</v>
      </c>
      <c r="E25" s="27">
        <f t="shared" si="2"/>
        <v>8241.90725</v>
      </c>
      <c r="F25" s="27">
        <f t="shared" si="3"/>
        <v>8477.625186</v>
      </c>
      <c r="G25" s="27">
        <f t="shared" si="4"/>
        <v>8525.193844</v>
      </c>
      <c r="H25" s="27">
        <f t="shared" si="5"/>
        <v>8571.278465</v>
      </c>
      <c r="I25" s="27">
        <f t="shared" si="6"/>
        <v>8615.799548</v>
      </c>
      <c r="J25" s="27">
        <f t="shared" si="7"/>
        <v>8658.804795</v>
      </c>
      <c r="K25" s="27">
        <f t="shared" si="8"/>
        <v>8680.731428</v>
      </c>
      <c r="L25" s="27">
        <f t="shared" si="9"/>
        <v>8722.565346</v>
      </c>
      <c r="M25" s="27">
        <f t="shared" si="10"/>
        <v>8763.556544</v>
      </c>
      <c r="N25" s="27">
        <f t="shared" si="11"/>
        <v>8803.604318</v>
      </c>
      <c r="O25" s="24">
        <v>7060.0</v>
      </c>
      <c r="P25" s="32">
        <f t="shared" si="12"/>
        <v>7060</v>
      </c>
      <c r="Q25" s="27">
        <f t="shared" si="13"/>
        <v>7528.417524</v>
      </c>
      <c r="R25" s="27">
        <f t="shared" si="14"/>
        <v>7531.589716</v>
      </c>
      <c r="S25" s="27">
        <f t="shared" si="15"/>
        <v>7534.763245</v>
      </c>
    </row>
    <row r="26" ht="15.75" customHeight="1">
      <c r="A26" s="24">
        <v>2.611606082E9</v>
      </c>
      <c r="B26" s="24" t="s">
        <v>63</v>
      </c>
      <c r="C26" s="24">
        <v>10793.0</v>
      </c>
      <c r="D26" s="27">
        <f t="shared" si="1"/>
        <v>10927.2916</v>
      </c>
      <c r="E26" s="27">
        <f t="shared" si="2"/>
        <v>10987.51296</v>
      </c>
      <c r="F26" s="27">
        <f t="shared" si="3"/>
        <v>11301.75502</v>
      </c>
      <c r="G26" s="27">
        <f t="shared" si="4"/>
        <v>11365.1701</v>
      </c>
      <c r="H26" s="27">
        <f t="shared" si="5"/>
        <v>11426.60678</v>
      </c>
      <c r="I26" s="27">
        <f t="shared" si="6"/>
        <v>11485.95906</v>
      </c>
      <c r="J26" s="27">
        <f t="shared" si="7"/>
        <v>11543.29053</v>
      </c>
      <c r="K26" s="27">
        <f t="shared" si="8"/>
        <v>11572.52153</v>
      </c>
      <c r="L26" s="27">
        <f t="shared" si="9"/>
        <v>11628.29148</v>
      </c>
      <c r="M26" s="27">
        <f t="shared" si="10"/>
        <v>11682.93797</v>
      </c>
      <c r="N26" s="27">
        <f t="shared" si="11"/>
        <v>11736.32675</v>
      </c>
      <c r="O26" s="24">
        <v>9427.0</v>
      </c>
      <c r="P26" s="32">
        <f t="shared" si="12"/>
        <v>9427</v>
      </c>
      <c r="Q26" s="27">
        <f t="shared" si="13"/>
        <v>10052.46346</v>
      </c>
      <c r="R26" s="27">
        <f t="shared" si="14"/>
        <v>10056.69919</v>
      </c>
      <c r="S26" s="27">
        <f t="shared" si="15"/>
        <v>10060.9367</v>
      </c>
    </row>
    <row r="27" ht="15.75" customHeight="1">
      <c r="A27" s="24">
        <v>2.611606042E9</v>
      </c>
      <c r="B27" s="24" t="s">
        <v>64</v>
      </c>
      <c r="C27" s="24">
        <v>9246.0</v>
      </c>
      <c r="D27" s="27">
        <f t="shared" si="1"/>
        <v>9361.043094</v>
      </c>
      <c r="E27" s="27">
        <f t="shared" si="2"/>
        <v>9412.632712</v>
      </c>
      <c r="F27" s="27">
        <f t="shared" si="3"/>
        <v>9681.833309</v>
      </c>
      <c r="G27" s="27">
        <f t="shared" si="4"/>
        <v>9736.158878</v>
      </c>
      <c r="H27" s="27">
        <f t="shared" si="5"/>
        <v>9788.789611</v>
      </c>
      <c r="I27" s="27">
        <f t="shared" si="6"/>
        <v>9839.634711</v>
      </c>
      <c r="J27" s="27">
        <f t="shared" si="7"/>
        <v>9888.748658</v>
      </c>
      <c r="K27" s="27">
        <f t="shared" si="8"/>
        <v>9913.78987</v>
      </c>
      <c r="L27" s="27">
        <f t="shared" si="9"/>
        <v>9961.566106</v>
      </c>
      <c r="M27" s="27">
        <f t="shared" si="10"/>
        <v>10008.37992</v>
      </c>
      <c r="N27" s="27">
        <f t="shared" si="11"/>
        <v>10054.1163</v>
      </c>
      <c r="O27" s="24">
        <v>8086.0</v>
      </c>
      <c r="P27" s="32">
        <f t="shared" si="12"/>
        <v>8086</v>
      </c>
      <c r="Q27" s="27">
        <f t="shared" si="13"/>
        <v>8622.490666</v>
      </c>
      <c r="R27" s="27">
        <f t="shared" si="14"/>
        <v>8626.123859</v>
      </c>
      <c r="S27" s="27">
        <f t="shared" si="15"/>
        <v>8629.758583</v>
      </c>
    </row>
    <row r="28" ht="15.75" customHeight="1">
      <c r="A28" s="24">
        <v>2.611606021E9</v>
      </c>
      <c r="B28" s="24" t="s">
        <v>65</v>
      </c>
      <c r="C28" s="24">
        <v>14491.0</v>
      </c>
      <c r="D28" s="27">
        <f t="shared" si="1"/>
        <v>14671.30386</v>
      </c>
      <c r="E28" s="27">
        <f t="shared" si="2"/>
        <v>14752.15884</v>
      </c>
      <c r="F28" s="27">
        <f t="shared" si="3"/>
        <v>15174.06949</v>
      </c>
      <c r="G28" s="27">
        <f t="shared" si="4"/>
        <v>15259.21245</v>
      </c>
      <c r="H28" s="27">
        <f t="shared" si="5"/>
        <v>15341.69914</v>
      </c>
      <c r="I28" s="27">
        <f t="shared" si="6"/>
        <v>15421.38726</v>
      </c>
      <c r="J28" s="27">
        <f t="shared" si="7"/>
        <v>15498.36219</v>
      </c>
      <c r="K28" s="27">
        <f t="shared" si="8"/>
        <v>15537.60859</v>
      </c>
      <c r="L28" s="27">
        <f t="shared" si="9"/>
        <v>15612.48696</v>
      </c>
      <c r="M28" s="27">
        <f t="shared" si="10"/>
        <v>15685.85695</v>
      </c>
      <c r="N28" s="27">
        <f t="shared" si="11"/>
        <v>15757.53831</v>
      </c>
      <c r="O28" s="24">
        <v>12797.0</v>
      </c>
      <c r="P28" s="32">
        <f t="shared" si="12"/>
        <v>12797</v>
      </c>
      <c r="Q28" s="27">
        <f t="shared" si="13"/>
        <v>13646.05652</v>
      </c>
      <c r="R28" s="27">
        <f t="shared" si="14"/>
        <v>13651.80646</v>
      </c>
      <c r="S28" s="27">
        <f t="shared" si="15"/>
        <v>13657.55882</v>
      </c>
    </row>
    <row r="29" ht="15.75" customHeight="1">
      <c r="A29" s="24">
        <v>2.611606078E9</v>
      </c>
      <c r="B29" s="24" t="s">
        <v>66</v>
      </c>
      <c r="C29" s="24">
        <v>29892.0</v>
      </c>
      <c r="D29" s="27">
        <f t="shared" si="1"/>
        <v>30263.93037</v>
      </c>
      <c r="E29" s="27">
        <f t="shared" si="2"/>
        <v>30430.71783</v>
      </c>
      <c r="F29" s="27">
        <f t="shared" si="3"/>
        <v>31301.0341</v>
      </c>
      <c r="G29" s="27">
        <f t="shared" si="4"/>
        <v>31476.66679</v>
      </c>
      <c r="H29" s="27">
        <f t="shared" si="5"/>
        <v>31646.82014</v>
      </c>
      <c r="I29" s="27">
        <f t="shared" si="6"/>
        <v>31811.2006</v>
      </c>
      <c r="J29" s="27">
        <f t="shared" si="7"/>
        <v>31969.9843</v>
      </c>
      <c r="K29" s="27">
        <f t="shared" si="8"/>
        <v>32050.94168</v>
      </c>
      <c r="L29" s="27">
        <f t="shared" si="9"/>
        <v>32205.40061</v>
      </c>
      <c r="M29" s="27">
        <f t="shared" si="10"/>
        <v>32356.74805</v>
      </c>
      <c r="N29" s="27">
        <f t="shared" si="11"/>
        <v>32504.61219</v>
      </c>
      <c r="O29" s="24">
        <v>26740.0</v>
      </c>
      <c r="P29" s="32">
        <f t="shared" si="12"/>
        <v>26740</v>
      </c>
      <c r="Q29" s="27">
        <f t="shared" si="13"/>
        <v>28514.14796</v>
      </c>
      <c r="R29" s="27">
        <f t="shared" si="14"/>
        <v>28526.16275</v>
      </c>
      <c r="S29" s="27">
        <f t="shared" si="15"/>
        <v>28538.1826</v>
      </c>
    </row>
    <row r="30" ht="15.75" customHeight="1">
      <c r="A30" s="24">
        <v>2.611606035E9</v>
      </c>
      <c r="B30" s="24" t="s">
        <v>67</v>
      </c>
      <c r="C30" s="24">
        <v>43523.0</v>
      </c>
      <c r="D30" s="27">
        <f t="shared" si="1"/>
        <v>44064.5337</v>
      </c>
      <c r="E30" s="27">
        <f t="shared" si="2"/>
        <v>44307.37763</v>
      </c>
      <c r="F30" s="27">
        <f t="shared" si="3"/>
        <v>45574.56534</v>
      </c>
      <c r="G30" s="27">
        <f t="shared" si="4"/>
        <v>45830.288</v>
      </c>
      <c r="H30" s="27">
        <f t="shared" si="5"/>
        <v>46078.03269</v>
      </c>
      <c r="I30" s="27">
        <f t="shared" si="6"/>
        <v>46317.372</v>
      </c>
      <c r="J30" s="27">
        <f t="shared" si="7"/>
        <v>46548.56239</v>
      </c>
      <c r="K30" s="27">
        <f t="shared" si="8"/>
        <v>46666.437</v>
      </c>
      <c r="L30" s="27">
        <f t="shared" si="9"/>
        <v>46891.33048</v>
      </c>
      <c r="M30" s="27">
        <f t="shared" si="10"/>
        <v>47111.69361</v>
      </c>
      <c r="N30" s="27">
        <f t="shared" si="11"/>
        <v>47326.98502</v>
      </c>
      <c r="O30" s="24">
        <v>39012.0</v>
      </c>
      <c r="P30" s="32">
        <f t="shared" si="12"/>
        <v>39012</v>
      </c>
      <c r="Q30" s="27">
        <f t="shared" si="13"/>
        <v>41600.37174</v>
      </c>
      <c r="R30" s="27">
        <f t="shared" si="14"/>
        <v>41617.90057</v>
      </c>
      <c r="S30" s="27">
        <f t="shared" si="15"/>
        <v>41635.43678</v>
      </c>
    </row>
    <row r="31" ht="15.75" customHeight="1">
      <c r="A31" s="24">
        <v>2.611606089E9</v>
      </c>
      <c r="B31" s="24" t="s">
        <v>68</v>
      </c>
      <c r="C31" s="24">
        <v>50533.0</v>
      </c>
      <c r="D31" s="27">
        <f t="shared" si="1"/>
        <v>51161.75542</v>
      </c>
      <c r="E31" s="27">
        <f t="shared" si="2"/>
        <v>51443.71283</v>
      </c>
      <c r="F31" s="27">
        <f t="shared" si="3"/>
        <v>52914.9992</v>
      </c>
      <c r="G31" s="27">
        <f t="shared" si="4"/>
        <v>53211.90965</v>
      </c>
      <c r="H31" s="27">
        <f t="shared" si="5"/>
        <v>53499.55715</v>
      </c>
      <c r="I31" s="27">
        <f t="shared" si="6"/>
        <v>53777.44548</v>
      </c>
      <c r="J31" s="27">
        <f t="shared" si="7"/>
        <v>54045.87237</v>
      </c>
      <c r="K31" s="27">
        <f t="shared" si="8"/>
        <v>54182.73237</v>
      </c>
      <c r="L31" s="27">
        <f t="shared" si="9"/>
        <v>54443.84815</v>
      </c>
      <c r="M31" s="27">
        <f t="shared" si="10"/>
        <v>54699.70391</v>
      </c>
      <c r="N31" s="27">
        <f t="shared" si="11"/>
        <v>54949.67107</v>
      </c>
      <c r="O31" s="24">
        <v>45448.0</v>
      </c>
      <c r="P31" s="32">
        <f t="shared" si="12"/>
        <v>45448</v>
      </c>
      <c r="Q31" s="27">
        <f t="shared" si="13"/>
        <v>48463.38805</v>
      </c>
      <c r="R31" s="27">
        <f t="shared" si="14"/>
        <v>48483.8087</v>
      </c>
      <c r="S31" s="27">
        <f t="shared" si="15"/>
        <v>48504.23795</v>
      </c>
    </row>
    <row r="32" ht="15.75" customHeight="1">
      <c r="A32" s="24">
        <v>2.611606068E9</v>
      </c>
      <c r="B32" s="24" t="s">
        <v>69</v>
      </c>
      <c r="C32" s="24">
        <v>8476.0</v>
      </c>
      <c r="D32" s="27">
        <f t="shared" si="1"/>
        <v>8581.46239</v>
      </c>
      <c r="E32" s="27">
        <f t="shared" si="2"/>
        <v>8628.755664</v>
      </c>
      <c r="F32" s="27">
        <f t="shared" si="3"/>
        <v>8875.537435</v>
      </c>
      <c r="G32" s="27">
        <f t="shared" si="4"/>
        <v>8925.338812</v>
      </c>
      <c r="H32" s="27">
        <f t="shared" si="5"/>
        <v>8973.586496</v>
      </c>
      <c r="I32" s="27">
        <f t="shared" si="6"/>
        <v>9020.197254</v>
      </c>
      <c r="J32" s="27">
        <f t="shared" si="7"/>
        <v>9065.221028</v>
      </c>
      <c r="K32" s="27">
        <f t="shared" si="8"/>
        <v>9088.176826</v>
      </c>
      <c r="L32" s="27">
        <f t="shared" si="9"/>
        <v>9131.974293</v>
      </c>
      <c r="M32" s="27">
        <f t="shared" si="10"/>
        <v>9174.889484</v>
      </c>
      <c r="N32" s="27">
        <f t="shared" si="11"/>
        <v>9216.816971</v>
      </c>
      <c r="O32" s="24">
        <v>7664.0</v>
      </c>
      <c r="P32" s="32">
        <f t="shared" si="12"/>
        <v>7664</v>
      </c>
      <c r="Q32" s="27">
        <f t="shared" si="13"/>
        <v>8172.491771</v>
      </c>
      <c r="R32" s="27">
        <f t="shared" si="14"/>
        <v>8175.935352</v>
      </c>
      <c r="S32" s="27">
        <f t="shared" si="15"/>
        <v>8179.380383</v>
      </c>
    </row>
    <row r="33" ht="15.75" customHeight="1">
      <c r="A33" s="24">
        <v>2.611606047E9</v>
      </c>
      <c r="B33" s="24" t="s">
        <v>70</v>
      </c>
      <c r="C33" s="24">
        <v>4650.0</v>
      </c>
      <c r="D33" s="27">
        <f t="shared" si="1"/>
        <v>4707.857494</v>
      </c>
      <c r="E33" s="27">
        <f t="shared" si="2"/>
        <v>4733.802954</v>
      </c>
      <c r="F33" s="27">
        <f t="shared" si="3"/>
        <v>4869.189367</v>
      </c>
      <c r="G33" s="27">
        <f t="shared" si="4"/>
        <v>4896.510792</v>
      </c>
      <c r="H33" s="27">
        <f t="shared" si="5"/>
        <v>4922.97985</v>
      </c>
      <c r="I33" s="27">
        <f t="shared" si="6"/>
        <v>4948.550877</v>
      </c>
      <c r="J33" s="27">
        <f t="shared" si="7"/>
        <v>4973.251272</v>
      </c>
      <c r="K33" s="27">
        <f t="shared" si="8"/>
        <v>4985.845003</v>
      </c>
      <c r="L33" s="27">
        <f t="shared" si="9"/>
        <v>5009.872636</v>
      </c>
      <c r="M33" s="27">
        <f t="shared" si="10"/>
        <v>5033.416246</v>
      </c>
      <c r="N33" s="27">
        <f t="shared" si="11"/>
        <v>5056.417994</v>
      </c>
      <c r="O33" s="24">
        <v>4221.0</v>
      </c>
      <c r="P33" s="32">
        <f t="shared" si="12"/>
        <v>4221</v>
      </c>
      <c r="Q33" s="27">
        <f t="shared" si="13"/>
        <v>4501.055293</v>
      </c>
      <c r="R33" s="27">
        <f t="shared" si="14"/>
        <v>4502.951868</v>
      </c>
      <c r="S33" s="27">
        <f t="shared" si="15"/>
        <v>4504.849243</v>
      </c>
    </row>
    <row r="34" ht="15.75" customHeight="1">
      <c r="A34" s="24">
        <v>2.611606066E9</v>
      </c>
      <c r="B34" s="24" t="s">
        <v>71</v>
      </c>
      <c r="C34" s="24">
        <v>25389.0</v>
      </c>
      <c r="D34" s="27">
        <f t="shared" si="1"/>
        <v>25704.90191</v>
      </c>
      <c r="E34" s="27">
        <f t="shared" si="2"/>
        <v>25846.56413</v>
      </c>
      <c r="F34" s="27">
        <f t="shared" si="3"/>
        <v>26585.77394</v>
      </c>
      <c r="G34" s="27">
        <f t="shared" si="4"/>
        <v>26734.94892</v>
      </c>
      <c r="H34" s="27">
        <f t="shared" si="5"/>
        <v>26879.46998</v>
      </c>
      <c r="I34" s="27">
        <f t="shared" si="6"/>
        <v>27019.08779</v>
      </c>
      <c r="J34" s="27">
        <f t="shared" si="7"/>
        <v>27153.95194</v>
      </c>
      <c r="K34" s="27">
        <f t="shared" si="8"/>
        <v>27222.71371</v>
      </c>
      <c r="L34" s="27">
        <f t="shared" si="9"/>
        <v>27353.90459</v>
      </c>
      <c r="M34" s="27">
        <f t="shared" si="10"/>
        <v>27482.4527</v>
      </c>
      <c r="N34" s="27">
        <f t="shared" si="11"/>
        <v>27608.04225</v>
      </c>
      <c r="O34" s="24">
        <v>23074.0</v>
      </c>
      <c r="P34" s="32">
        <f t="shared" si="12"/>
        <v>23074</v>
      </c>
      <c r="Q34" s="27">
        <f t="shared" si="13"/>
        <v>24604.91586</v>
      </c>
      <c r="R34" s="27">
        <f t="shared" si="14"/>
        <v>24615.28344</v>
      </c>
      <c r="S34" s="27">
        <f t="shared" si="15"/>
        <v>24625.6554</v>
      </c>
    </row>
    <row r="35" ht="15.75" customHeight="1">
      <c r="A35" s="24">
        <v>2.611606041E9</v>
      </c>
      <c r="B35" s="24" t="s">
        <v>72</v>
      </c>
      <c r="C35" s="24">
        <v>11675.0</v>
      </c>
      <c r="D35" s="27">
        <f t="shared" si="1"/>
        <v>11820.26586</v>
      </c>
      <c r="E35" s="27">
        <f t="shared" si="2"/>
        <v>11885.40849</v>
      </c>
      <c r="F35" s="27">
        <f t="shared" si="3"/>
        <v>12225.33029</v>
      </c>
      <c r="G35" s="27">
        <f t="shared" si="4"/>
        <v>12293.92763</v>
      </c>
      <c r="H35" s="27">
        <f t="shared" si="5"/>
        <v>12360.38489</v>
      </c>
      <c r="I35" s="27">
        <f t="shared" si="6"/>
        <v>12424.58742</v>
      </c>
      <c r="J35" s="27">
        <f t="shared" si="7"/>
        <v>12486.604</v>
      </c>
      <c r="K35" s="27">
        <f t="shared" si="8"/>
        <v>12518.22374</v>
      </c>
      <c r="L35" s="27">
        <f t="shared" si="9"/>
        <v>12578.55119</v>
      </c>
      <c r="M35" s="27">
        <f t="shared" si="10"/>
        <v>12637.66337</v>
      </c>
      <c r="N35" s="27">
        <f t="shared" si="11"/>
        <v>12695.41507</v>
      </c>
      <c r="O35" s="24">
        <v>10620.0</v>
      </c>
      <c r="P35" s="32">
        <f t="shared" si="12"/>
        <v>10620</v>
      </c>
      <c r="Q35" s="27">
        <f t="shared" si="13"/>
        <v>11324.61673</v>
      </c>
      <c r="R35" s="27">
        <f t="shared" si="14"/>
        <v>11329.3885</v>
      </c>
      <c r="S35" s="27">
        <f t="shared" si="15"/>
        <v>11334.16227</v>
      </c>
    </row>
    <row r="36" ht="15.75" customHeight="1">
      <c r="A36" s="24">
        <v>2.611606094E9</v>
      </c>
      <c r="B36" s="24" t="s">
        <v>73</v>
      </c>
      <c r="C36" s="24">
        <v>18320.0</v>
      </c>
      <c r="D36" s="27">
        <f t="shared" si="1"/>
        <v>18547.94608</v>
      </c>
      <c r="E36" s="27">
        <f t="shared" si="2"/>
        <v>18650.16562</v>
      </c>
      <c r="F36" s="27">
        <f t="shared" si="3"/>
        <v>19183.55897</v>
      </c>
      <c r="G36" s="27">
        <f t="shared" si="4"/>
        <v>19291.19951</v>
      </c>
      <c r="H36" s="27">
        <f t="shared" si="5"/>
        <v>19395.4819</v>
      </c>
      <c r="I36" s="27">
        <f t="shared" si="6"/>
        <v>19496.22625</v>
      </c>
      <c r="J36" s="27">
        <f t="shared" si="7"/>
        <v>19593.54049</v>
      </c>
      <c r="K36" s="27">
        <f t="shared" si="8"/>
        <v>19643.15709</v>
      </c>
      <c r="L36" s="27">
        <f t="shared" si="9"/>
        <v>19737.82079</v>
      </c>
      <c r="M36" s="27">
        <f t="shared" si="10"/>
        <v>19830.57755</v>
      </c>
      <c r="N36" s="27">
        <f t="shared" si="11"/>
        <v>19921.19949</v>
      </c>
      <c r="O36" s="24">
        <v>16685.0</v>
      </c>
      <c r="P36" s="32">
        <f t="shared" si="12"/>
        <v>16685</v>
      </c>
      <c r="Q36" s="27">
        <f t="shared" si="13"/>
        <v>17792.0179</v>
      </c>
      <c r="R36" s="27">
        <f t="shared" si="14"/>
        <v>17799.51479</v>
      </c>
      <c r="S36" s="27">
        <f t="shared" si="15"/>
        <v>17807.01484</v>
      </c>
    </row>
    <row r="37" ht="15.75" customHeight="1">
      <c r="A37" s="24">
        <v>2.611606036E9</v>
      </c>
      <c r="B37" s="24" t="s">
        <v>74</v>
      </c>
      <c r="C37" s="24">
        <v>8472.0</v>
      </c>
      <c r="D37" s="27">
        <f t="shared" si="1"/>
        <v>8577.412621</v>
      </c>
      <c r="E37" s="27">
        <f t="shared" si="2"/>
        <v>8624.683575</v>
      </c>
      <c r="F37" s="27">
        <f t="shared" si="3"/>
        <v>8871.348885</v>
      </c>
      <c r="G37" s="27">
        <f t="shared" si="4"/>
        <v>8921.126759</v>
      </c>
      <c r="H37" s="27">
        <f t="shared" si="5"/>
        <v>8969.351674</v>
      </c>
      <c r="I37" s="27">
        <f t="shared" si="6"/>
        <v>9015.940436</v>
      </c>
      <c r="J37" s="27">
        <f t="shared" si="7"/>
        <v>9060.942962</v>
      </c>
      <c r="K37" s="27">
        <f t="shared" si="8"/>
        <v>9083.887927</v>
      </c>
      <c r="L37" s="27">
        <f t="shared" si="9"/>
        <v>9127.664725</v>
      </c>
      <c r="M37" s="27">
        <f t="shared" si="10"/>
        <v>9170.559664</v>
      </c>
      <c r="N37" s="27">
        <f t="shared" si="11"/>
        <v>9212.467365</v>
      </c>
      <c r="O37" s="24">
        <v>7728.0</v>
      </c>
      <c r="P37" s="32">
        <f t="shared" si="12"/>
        <v>7728</v>
      </c>
      <c r="Q37" s="27">
        <f t="shared" si="13"/>
        <v>8240.738049</v>
      </c>
      <c r="R37" s="27">
        <f t="shared" si="14"/>
        <v>8244.210386</v>
      </c>
      <c r="S37" s="27">
        <f t="shared" si="15"/>
        <v>8247.684186</v>
      </c>
    </row>
    <row r="38" ht="15.75" customHeight="1">
      <c r="A38" s="24">
        <v>2.611606054E9</v>
      </c>
      <c r="B38" s="24" t="s">
        <v>75</v>
      </c>
      <c r="C38" s="24">
        <v>7615.0</v>
      </c>
      <c r="D38" s="27">
        <f t="shared" si="1"/>
        <v>7709.749422</v>
      </c>
      <c r="E38" s="27">
        <f t="shared" si="2"/>
        <v>7752.238601</v>
      </c>
      <c r="F38" s="27">
        <f t="shared" si="3"/>
        <v>7973.952049</v>
      </c>
      <c r="G38" s="27">
        <f t="shared" si="4"/>
        <v>8018.694555</v>
      </c>
      <c r="H38" s="27">
        <f t="shared" si="5"/>
        <v>8062.041194</v>
      </c>
      <c r="I38" s="27">
        <f t="shared" si="6"/>
        <v>8103.917189</v>
      </c>
      <c r="J38" s="27">
        <f t="shared" si="7"/>
        <v>8144.367405</v>
      </c>
      <c r="K38" s="27">
        <f t="shared" si="8"/>
        <v>8164.991332</v>
      </c>
      <c r="L38" s="27">
        <f t="shared" si="9"/>
        <v>8204.339811</v>
      </c>
      <c r="M38" s="27">
        <f t="shared" si="10"/>
        <v>8242.895637</v>
      </c>
      <c r="N38" s="27">
        <f t="shared" si="11"/>
        <v>8280.564091</v>
      </c>
      <c r="O38" s="24">
        <v>6954.0</v>
      </c>
      <c r="P38" s="32">
        <f t="shared" si="12"/>
        <v>6954</v>
      </c>
      <c r="Q38" s="27">
        <f t="shared" si="13"/>
        <v>7415.384626</v>
      </c>
      <c r="R38" s="27">
        <f t="shared" si="14"/>
        <v>7418.509191</v>
      </c>
      <c r="S38" s="27">
        <f t="shared" si="15"/>
        <v>7421.635071</v>
      </c>
    </row>
    <row r="39" ht="15.75" customHeight="1">
      <c r="A39" s="24">
        <v>2.611606012E9</v>
      </c>
      <c r="B39" s="24" t="s">
        <v>76</v>
      </c>
      <c r="C39" s="24">
        <v>2037.0</v>
      </c>
      <c r="D39" s="27">
        <f t="shared" si="1"/>
        <v>2062.345315</v>
      </c>
      <c r="E39" s="27">
        <f t="shared" si="2"/>
        <v>2073.7111</v>
      </c>
      <c r="F39" s="27">
        <f t="shared" si="3"/>
        <v>2133.019084</v>
      </c>
      <c r="G39" s="27">
        <f t="shared" si="4"/>
        <v>2144.987631</v>
      </c>
      <c r="H39" s="27">
        <f t="shared" si="5"/>
        <v>2156.582786</v>
      </c>
      <c r="I39" s="27">
        <f t="shared" si="6"/>
        <v>2167.784545</v>
      </c>
      <c r="J39" s="27">
        <f t="shared" si="7"/>
        <v>2178.604912</v>
      </c>
      <c r="K39" s="27">
        <f t="shared" si="8"/>
        <v>2184.121779</v>
      </c>
      <c r="L39" s="27">
        <f t="shared" si="9"/>
        <v>2194.647432</v>
      </c>
      <c r="M39" s="27">
        <f t="shared" si="10"/>
        <v>2204.961052</v>
      </c>
      <c r="N39" s="27">
        <f t="shared" si="11"/>
        <v>2215.037302</v>
      </c>
      <c r="O39" s="63">
        <v>1867.0</v>
      </c>
      <c r="P39" s="32">
        <f t="shared" si="12"/>
        <v>1867</v>
      </c>
      <c r="Q39" s="27">
        <f t="shared" si="13"/>
        <v>1990.871886</v>
      </c>
      <c r="R39" s="27">
        <f t="shared" si="14"/>
        <v>1991.710765</v>
      </c>
      <c r="S39" s="27">
        <f t="shared" si="15"/>
        <v>1992.549997</v>
      </c>
    </row>
    <row r="40" ht="15.75" customHeight="1">
      <c r="A40" s="24">
        <v>2.611606052E9</v>
      </c>
      <c r="B40" s="24" t="s">
        <v>77</v>
      </c>
      <c r="C40" s="24">
        <v>12295.0</v>
      </c>
      <c r="D40" s="27">
        <f t="shared" si="1"/>
        <v>12447.98019</v>
      </c>
      <c r="E40" s="27">
        <f t="shared" si="2"/>
        <v>12516.58222</v>
      </c>
      <c r="F40" s="27">
        <f t="shared" si="3"/>
        <v>12874.55554</v>
      </c>
      <c r="G40" s="27">
        <f t="shared" si="4"/>
        <v>12946.79574</v>
      </c>
      <c r="H40" s="27">
        <f t="shared" si="5"/>
        <v>13016.7822</v>
      </c>
      <c r="I40" s="27">
        <f t="shared" si="6"/>
        <v>13084.3942</v>
      </c>
      <c r="J40" s="27">
        <f t="shared" si="7"/>
        <v>13149.70417</v>
      </c>
      <c r="K40" s="27">
        <f t="shared" si="8"/>
        <v>13183.00308</v>
      </c>
      <c r="L40" s="27">
        <f t="shared" si="9"/>
        <v>13246.53421</v>
      </c>
      <c r="M40" s="27">
        <f t="shared" si="10"/>
        <v>13308.78554</v>
      </c>
      <c r="N40" s="27">
        <f t="shared" si="11"/>
        <v>13369.60414</v>
      </c>
      <c r="O40" s="24">
        <v>11313.0</v>
      </c>
      <c r="P40" s="32">
        <f t="shared" si="12"/>
        <v>11313</v>
      </c>
      <c r="Q40" s="27">
        <f t="shared" si="13"/>
        <v>12063.59596</v>
      </c>
      <c r="R40" s="27">
        <f t="shared" si="14"/>
        <v>12068.6791</v>
      </c>
      <c r="S40" s="27">
        <f t="shared" si="15"/>
        <v>12073.76439</v>
      </c>
    </row>
    <row r="41" ht="15.75" customHeight="1">
      <c r="A41" s="24">
        <v>2.611606053E9</v>
      </c>
      <c r="B41" s="24" t="s">
        <v>78</v>
      </c>
      <c r="C41" s="24">
        <v>6947.0</v>
      </c>
      <c r="D41" s="27">
        <f t="shared" si="1"/>
        <v>7033.437851</v>
      </c>
      <c r="E41" s="27">
        <f t="shared" si="2"/>
        <v>7072.199811</v>
      </c>
      <c r="F41" s="27">
        <f t="shared" si="3"/>
        <v>7274.464201</v>
      </c>
      <c r="G41" s="27">
        <f t="shared" si="4"/>
        <v>7315.281822</v>
      </c>
      <c r="H41" s="27">
        <f t="shared" si="5"/>
        <v>7354.826025</v>
      </c>
      <c r="I41" s="27">
        <f t="shared" si="6"/>
        <v>7393.02859</v>
      </c>
      <c r="J41" s="27">
        <f t="shared" si="7"/>
        <v>7429.930448</v>
      </c>
      <c r="K41" s="27">
        <f t="shared" si="8"/>
        <v>7448.745211</v>
      </c>
      <c r="L41" s="27">
        <f t="shared" si="9"/>
        <v>7484.641979</v>
      </c>
      <c r="M41" s="27">
        <f t="shared" si="10"/>
        <v>7519.815626</v>
      </c>
      <c r="N41" s="27">
        <f t="shared" si="11"/>
        <v>7554.179743</v>
      </c>
      <c r="O41" s="24">
        <v>6397.0</v>
      </c>
      <c r="P41" s="32">
        <f t="shared" si="12"/>
        <v>6397</v>
      </c>
      <c r="Q41" s="27">
        <f t="shared" si="13"/>
        <v>6821.42874</v>
      </c>
      <c r="R41" s="27">
        <f t="shared" si="14"/>
        <v>6824.303033</v>
      </c>
      <c r="S41" s="27">
        <f t="shared" si="15"/>
        <v>6827.178538</v>
      </c>
    </row>
    <row r="42" ht="15.75" customHeight="1">
      <c r="A42" s="24">
        <v>2.61160606E9</v>
      </c>
      <c r="B42" s="24" t="s">
        <v>79</v>
      </c>
      <c r="C42" s="24">
        <v>40870.0</v>
      </c>
      <c r="D42" s="27">
        <f t="shared" si="1"/>
        <v>41378.52382</v>
      </c>
      <c r="E42" s="27">
        <f t="shared" si="2"/>
        <v>41606.56489</v>
      </c>
      <c r="F42" s="27">
        <f t="shared" si="3"/>
        <v>42796.50955</v>
      </c>
      <c r="G42" s="27">
        <f t="shared" si="4"/>
        <v>43036.64432</v>
      </c>
      <c r="H42" s="27">
        <f t="shared" si="5"/>
        <v>43269.28741</v>
      </c>
      <c r="I42" s="27">
        <f t="shared" si="6"/>
        <v>43494.03749</v>
      </c>
      <c r="J42" s="27">
        <f t="shared" si="7"/>
        <v>43711.13537</v>
      </c>
      <c r="K42" s="27">
        <f t="shared" si="8"/>
        <v>43821.82479</v>
      </c>
      <c r="L42" s="27">
        <f t="shared" si="9"/>
        <v>44033.0096</v>
      </c>
      <c r="M42" s="27">
        <f t="shared" si="10"/>
        <v>44239.94021</v>
      </c>
      <c r="N42" s="27">
        <f t="shared" si="11"/>
        <v>44442.10826</v>
      </c>
      <c r="O42" s="63">
        <v>37660.0</v>
      </c>
      <c r="P42" s="32">
        <f t="shared" si="12"/>
        <v>37660</v>
      </c>
      <c r="Q42" s="27">
        <f t="shared" si="13"/>
        <v>40158.66912</v>
      </c>
      <c r="R42" s="27">
        <f t="shared" si="14"/>
        <v>40175.59047</v>
      </c>
      <c r="S42" s="27">
        <f t="shared" si="15"/>
        <v>40192.51895</v>
      </c>
    </row>
    <row r="43" ht="15.75" customHeight="1">
      <c r="A43" s="24">
        <v>2.61160602E9</v>
      </c>
      <c r="B43" s="24" t="s">
        <v>80</v>
      </c>
      <c r="C43" s="24">
        <v>9484.0</v>
      </c>
      <c r="D43" s="27">
        <f t="shared" si="1"/>
        <v>9602.004402</v>
      </c>
      <c r="E43" s="27">
        <f t="shared" si="2"/>
        <v>9654.921982</v>
      </c>
      <c r="F43" s="27">
        <f t="shared" si="3"/>
        <v>9931.052034</v>
      </c>
      <c r="G43" s="27">
        <f t="shared" si="4"/>
        <v>9986.77599</v>
      </c>
      <c r="H43" s="27">
        <f t="shared" si="5"/>
        <v>10040.76148</v>
      </c>
      <c r="I43" s="27">
        <f t="shared" si="6"/>
        <v>10092.91538</v>
      </c>
      <c r="J43" s="27">
        <f t="shared" si="7"/>
        <v>10143.29356</v>
      </c>
      <c r="K43" s="27">
        <f t="shared" si="8"/>
        <v>10168.97936</v>
      </c>
      <c r="L43" s="27">
        <f t="shared" si="9"/>
        <v>10217.98539</v>
      </c>
      <c r="M43" s="27">
        <f t="shared" si="10"/>
        <v>10266.00423</v>
      </c>
      <c r="N43" s="27">
        <f t="shared" si="11"/>
        <v>10312.9179</v>
      </c>
      <c r="O43" s="24">
        <v>8757.0</v>
      </c>
      <c r="P43" s="32">
        <f t="shared" si="12"/>
        <v>8757</v>
      </c>
      <c r="Q43" s="27">
        <f t="shared" si="13"/>
        <v>9338.010235</v>
      </c>
      <c r="R43" s="27">
        <f t="shared" si="14"/>
        <v>9341.944921</v>
      </c>
      <c r="S43" s="27">
        <f t="shared" si="15"/>
        <v>9345.881265</v>
      </c>
    </row>
    <row r="44" ht="15.75" customHeight="1">
      <c r="A44" s="24">
        <v>2.611606087E9</v>
      </c>
      <c r="B44" s="24" t="s">
        <v>81</v>
      </c>
      <c r="C44" s="24">
        <v>67260.0</v>
      </c>
      <c r="D44" s="27">
        <f t="shared" si="1"/>
        <v>68096.88065</v>
      </c>
      <c r="E44" s="27">
        <f t="shared" si="2"/>
        <v>68472.16918</v>
      </c>
      <c r="F44" s="27">
        <f t="shared" si="3"/>
        <v>70430.46813</v>
      </c>
      <c r="G44" s="27">
        <f t="shared" si="4"/>
        <v>70825.65933</v>
      </c>
      <c r="H44" s="27">
        <f t="shared" si="5"/>
        <v>71208.52144</v>
      </c>
      <c r="I44" s="27">
        <f t="shared" si="6"/>
        <v>71578.39397</v>
      </c>
      <c r="J44" s="27">
        <f t="shared" si="7"/>
        <v>71935.67323</v>
      </c>
      <c r="K44" s="27">
        <f t="shared" si="8"/>
        <v>72117.83546</v>
      </c>
      <c r="L44" s="27">
        <f t="shared" si="9"/>
        <v>72465.38355</v>
      </c>
      <c r="M44" s="27">
        <f t="shared" si="10"/>
        <v>72805.93048</v>
      </c>
      <c r="N44" s="27">
        <f t="shared" si="11"/>
        <v>73138.63963</v>
      </c>
      <c r="O44" s="24">
        <v>62632.0</v>
      </c>
      <c r="P44" s="32">
        <f t="shared" si="12"/>
        <v>62632</v>
      </c>
      <c r="Q44" s="27">
        <f t="shared" si="13"/>
        <v>66787.51365</v>
      </c>
      <c r="R44" s="27">
        <f t="shared" si="14"/>
        <v>66815.6554</v>
      </c>
      <c r="S44" s="27">
        <f t="shared" si="15"/>
        <v>66843.809</v>
      </c>
    </row>
    <row r="45" ht="15.75" customHeight="1">
      <c r="A45" s="24">
        <v>2.611606046E9</v>
      </c>
      <c r="B45" s="24" t="s">
        <v>82</v>
      </c>
      <c r="C45" s="24">
        <v>8286.0</v>
      </c>
      <c r="D45" s="27">
        <f t="shared" si="1"/>
        <v>8389.098321</v>
      </c>
      <c r="E45" s="27">
        <f t="shared" si="2"/>
        <v>8435.331457</v>
      </c>
      <c r="F45" s="27">
        <f t="shared" si="3"/>
        <v>8676.581311</v>
      </c>
      <c r="G45" s="27">
        <f t="shared" si="4"/>
        <v>8725.266328</v>
      </c>
      <c r="H45" s="27">
        <f t="shared" si="5"/>
        <v>8772.43248</v>
      </c>
      <c r="I45" s="27">
        <f t="shared" si="6"/>
        <v>8817.998401</v>
      </c>
      <c r="J45" s="27">
        <f t="shared" si="7"/>
        <v>8862.012911</v>
      </c>
      <c r="K45" s="27">
        <f t="shared" si="8"/>
        <v>8884.454127</v>
      </c>
      <c r="L45" s="27">
        <f t="shared" si="9"/>
        <v>8927.26982</v>
      </c>
      <c r="M45" s="27">
        <f t="shared" si="10"/>
        <v>8969.223014</v>
      </c>
      <c r="N45" s="27">
        <f t="shared" si="11"/>
        <v>9010.210645</v>
      </c>
      <c r="O45" s="24">
        <v>7738.0</v>
      </c>
      <c r="P45" s="32">
        <f t="shared" si="12"/>
        <v>7738</v>
      </c>
      <c r="Q45" s="27">
        <f t="shared" si="13"/>
        <v>8251.40153</v>
      </c>
      <c r="R45" s="27">
        <f t="shared" si="14"/>
        <v>8254.87836</v>
      </c>
      <c r="S45" s="27">
        <f t="shared" si="15"/>
        <v>8258.356655</v>
      </c>
    </row>
    <row r="46" ht="15.75" customHeight="1">
      <c r="A46" s="24">
        <v>2.611606055E9</v>
      </c>
      <c r="B46" s="24" t="s">
        <v>83</v>
      </c>
      <c r="C46" s="24">
        <v>6722.0</v>
      </c>
      <c r="D46" s="27">
        <f t="shared" si="1"/>
        <v>6805.638295</v>
      </c>
      <c r="E46" s="27">
        <f t="shared" si="2"/>
        <v>6843.144829</v>
      </c>
      <c r="F46" s="27">
        <f t="shared" si="3"/>
        <v>7038.858263</v>
      </c>
      <c r="G46" s="27">
        <f t="shared" si="4"/>
        <v>7078.35388</v>
      </c>
      <c r="H46" s="27">
        <f t="shared" si="5"/>
        <v>7116.617322</v>
      </c>
      <c r="I46" s="27">
        <f t="shared" si="6"/>
        <v>7153.582579</v>
      </c>
      <c r="J46" s="27">
        <f t="shared" si="7"/>
        <v>7189.289258</v>
      </c>
      <c r="K46" s="27">
        <f t="shared" si="8"/>
        <v>7207.494647</v>
      </c>
      <c r="L46" s="27">
        <f t="shared" si="9"/>
        <v>7242.228787</v>
      </c>
      <c r="M46" s="27">
        <f t="shared" si="10"/>
        <v>7276.263227</v>
      </c>
      <c r="N46" s="27">
        <f t="shared" si="11"/>
        <v>7309.514356</v>
      </c>
      <c r="O46" s="24">
        <v>6307.0</v>
      </c>
      <c r="P46" s="32">
        <f t="shared" si="12"/>
        <v>6307</v>
      </c>
      <c r="Q46" s="27">
        <f t="shared" si="13"/>
        <v>6725.457411</v>
      </c>
      <c r="R46" s="27">
        <f t="shared" si="14"/>
        <v>6728.291266</v>
      </c>
      <c r="S46" s="27">
        <f t="shared" si="15"/>
        <v>6731.126315</v>
      </c>
    </row>
    <row r="47" ht="15.75" customHeight="1">
      <c r="A47" s="24">
        <v>2.611606085E9</v>
      </c>
      <c r="B47" s="24" t="s">
        <v>84</v>
      </c>
      <c r="C47" s="24">
        <v>31598.0</v>
      </c>
      <c r="D47" s="27">
        <f t="shared" si="1"/>
        <v>31991.15722</v>
      </c>
      <c r="E47" s="27">
        <f t="shared" si="2"/>
        <v>32167.4636</v>
      </c>
      <c r="F47" s="27">
        <f t="shared" si="3"/>
        <v>33087.45067</v>
      </c>
      <c r="G47" s="27">
        <f t="shared" si="4"/>
        <v>33273.1071</v>
      </c>
      <c r="H47" s="27">
        <f t="shared" si="5"/>
        <v>33452.97146</v>
      </c>
      <c r="I47" s="27">
        <f t="shared" si="6"/>
        <v>33626.73346</v>
      </c>
      <c r="J47" s="27">
        <f t="shared" si="7"/>
        <v>33794.57929</v>
      </c>
      <c r="K47" s="27">
        <f t="shared" si="8"/>
        <v>33880.15707</v>
      </c>
      <c r="L47" s="27">
        <f t="shared" si="9"/>
        <v>34043.4313</v>
      </c>
      <c r="M47" s="27">
        <f t="shared" si="10"/>
        <v>34203.41646</v>
      </c>
      <c r="N47" s="27">
        <f t="shared" si="11"/>
        <v>34359.71952</v>
      </c>
      <c r="O47" s="24">
        <v>29996.0</v>
      </c>
      <c r="P47" s="32">
        <f t="shared" si="12"/>
        <v>29996</v>
      </c>
      <c r="Q47" s="27">
        <f t="shared" si="13"/>
        <v>31986.17734</v>
      </c>
      <c r="R47" s="27">
        <f t="shared" si="14"/>
        <v>31999.65512</v>
      </c>
      <c r="S47" s="27">
        <f t="shared" si="15"/>
        <v>32013.13857</v>
      </c>
    </row>
    <row r="48" ht="15.75" customHeight="1">
      <c r="A48" s="24">
        <v>2.611606018E9</v>
      </c>
      <c r="B48" s="24" t="s">
        <v>85</v>
      </c>
      <c r="C48" s="24">
        <v>13861.0</v>
      </c>
      <c r="D48" s="27">
        <f t="shared" si="1"/>
        <v>14033.4651</v>
      </c>
      <c r="E48" s="27">
        <f t="shared" si="2"/>
        <v>14110.80489</v>
      </c>
      <c r="F48" s="27">
        <f t="shared" si="3"/>
        <v>14514.37286</v>
      </c>
      <c r="G48" s="27">
        <f t="shared" si="4"/>
        <v>14595.81421</v>
      </c>
      <c r="H48" s="27">
        <f t="shared" si="5"/>
        <v>14674.71477</v>
      </c>
      <c r="I48" s="27">
        <f t="shared" si="6"/>
        <v>14750.93843</v>
      </c>
      <c r="J48" s="27">
        <f t="shared" si="7"/>
        <v>14824.56686</v>
      </c>
      <c r="K48" s="27">
        <f t="shared" si="8"/>
        <v>14862.10701</v>
      </c>
      <c r="L48" s="27">
        <f t="shared" si="9"/>
        <v>14933.73002</v>
      </c>
      <c r="M48" s="27">
        <f t="shared" si="10"/>
        <v>15003.91023</v>
      </c>
      <c r="N48" s="27">
        <f t="shared" si="11"/>
        <v>15072.47523</v>
      </c>
      <c r="O48" s="24">
        <v>13236.0</v>
      </c>
      <c r="P48" s="32">
        <f t="shared" si="12"/>
        <v>13236</v>
      </c>
      <c r="Q48" s="27">
        <f t="shared" si="13"/>
        <v>14114.18334</v>
      </c>
      <c r="R48" s="27">
        <f t="shared" si="14"/>
        <v>14120.13052</v>
      </c>
      <c r="S48" s="27">
        <f t="shared" si="15"/>
        <v>14126.08021</v>
      </c>
    </row>
    <row r="49" ht="15.75" customHeight="1">
      <c r="A49" s="24">
        <v>2.611606029E9</v>
      </c>
      <c r="B49" s="24" t="s">
        <v>86</v>
      </c>
      <c r="C49" s="24">
        <v>14867.0</v>
      </c>
      <c r="D49" s="27">
        <f t="shared" si="1"/>
        <v>15051.98223</v>
      </c>
      <c r="E49" s="27">
        <f t="shared" si="2"/>
        <v>15134.93516</v>
      </c>
      <c r="F49" s="27">
        <f t="shared" si="3"/>
        <v>15567.79319</v>
      </c>
      <c r="G49" s="27">
        <f t="shared" si="4"/>
        <v>15655.14536</v>
      </c>
      <c r="H49" s="27">
        <f t="shared" si="5"/>
        <v>15739.77235</v>
      </c>
      <c r="I49" s="27">
        <f t="shared" si="6"/>
        <v>15821.52815</v>
      </c>
      <c r="J49" s="27">
        <f t="shared" si="7"/>
        <v>15900.50036</v>
      </c>
      <c r="K49" s="27">
        <f t="shared" si="8"/>
        <v>15940.76509</v>
      </c>
      <c r="L49" s="27">
        <f t="shared" si="9"/>
        <v>16017.58634</v>
      </c>
      <c r="M49" s="27">
        <f t="shared" si="10"/>
        <v>16092.86007</v>
      </c>
      <c r="N49" s="27">
        <f t="shared" si="11"/>
        <v>16166.40136</v>
      </c>
      <c r="O49" s="24">
        <v>14202.0</v>
      </c>
      <c r="P49" s="32">
        <f t="shared" si="12"/>
        <v>14202</v>
      </c>
      <c r="Q49" s="27">
        <f t="shared" si="13"/>
        <v>15144.27559</v>
      </c>
      <c r="R49" s="27">
        <f t="shared" si="14"/>
        <v>15150.65682</v>
      </c>
      <c r="S49" s="27">
        <f t="shared" si="15"/>
        <v>15157.04074</v>
      </c>
    </row>
    <row r="50" ht="15.75" customHeight="1">
      <c r="A50" s="24">
        <v>2.611606028E9</v>
      </c>
      <c r="B50" s="24" t="s">
        <v>87</v>
      </c>
      <c r="C50" s="24">
        <v>32869.0</v>
      </c>
      <c r="D50" s="27">
        <f t="shared" si="1"/>
        <v>33277.9716</v>
      </c>
      <c r="E50" s="27">
        <f t="shared" si="2"/>
        <v>33461.36974</v>
      </c>
      <c r="F50" s="27">
        <f t="shared" si="3"/>
        <v>34418.36243</v>
      </c>
      <c r="G50" s="27">
        <f t="shared" si="4"/>
        <v>34611.48671</v>
      </c>
      <c r="H50" s="27">
        <f t="shared" si="5"/>
        <v>34798.58595</v>
      </c>
      <c r="I50" s="27">
        <f t="shared" si="6"/>
        <v>34979.33737</v>
      </c>
      <c r="J50" s="27">
        <f t="shared" si="7"/>
        <v>35153.93463</v>
      </c>
      <c r="K50" s="27">
        <f t="shared" si="8"/>
        <v>35242.95471</v>
      </c>
      <c r="L50" s="27">
        <f t="shared" si="9"/>
        <v>35412.79649</v>
      </c>
      <c r="M50" s="27">
        <f t="shared" si="10"/>
        <v>35579.2169</v>
      </c>
      <c r="N50" s="27">
        <f t="shared" si="11"/>
        <v>35741.80711</v>
      </c>
      <c r="O50" s="24">
        <v>31437.0</v>
      </c>
      <c r="P50" s="32">
        <f t="shared" si="12"/>
        <v>31437</v>
      </c>
      <c r="Q50" s="27">
        <f t="shared" si="13"/>
        <v>33522.78494</v>
      </c>
      <c r="R50" s="27">
        <f t="shared" si="14"/>
        <v>33536.91018</v>
      </c>
      <c r="S50" s="27">
        <f t="shared" si="15"/>
        <v>33551.04138</v>
      </c>
    </row>
    <row r="51" ht="15.75" customHeight="1">
      <c r="A51" s="24">
        <v>2.611606034E9</v>
      </c>
      <c r="B51" s="24" t="s">
        <v>88</v>
      </c>
      <c r="C51" s="24">
        <v>8120.0</v>
      </c>
      <c r="D51" s="27">
        <f t="shared" si="1"/>
        <v>8221.03287</v>
      </c>
      <c r="E51" s="27">
        <f t="shared" si="2"/>
        <v>8266.339782</v>
      </c>
      <c r="F51" s="27">
        <f t="shared" si="3"/>
        <v>8502.756486</v>
      </c>
      <c r="G51" s="27">
        <f t="shared" si="4"/>
        <v>8550.466157</v>
      </c>
      <c r="H51" s="27">
        <f t="shared" si="5"/>
        <v>8596.687393</v>
      </c>
      <c r="I51" s="27">
        <f t="shared" si="6"/>
        <v>8641.340456</v>
      </c>
      <c r="J51" s="27">
        <f t="shared" si="7"/>
        <v>8684.473188</v>
      </c>
      <c r="K51" s="27">
        <f t="shared" si="8"/>
        <v>8706.464822</v>
      </c>
      <c r="L51" s="27">
        <f t="shared" si="9"/>
        <v>8748.422753</v>
      </c>
      <c r="M51" s="27">
        <f t="shared" si="10"/>
        <v>8789.535466</v>
      </c>
      <c r="N51" s="27">
        <f t="shared" si="11"/>
        <v>8829.701959</v>
      </c>
      <c r="O51" s="24">
        <v>7793.0</v>
      </c>
      <c r="P51" s="32">
        <f t="shared" si="12"/>
        <v>7793</v>
      </c>
      <c r="Q51" s="27">
        <f t="shared" si="13"/>
        <v>8310.050675</v>
      </c>
      <c r="R51" s="27">
        <f t="shared" si="14"/>
        <v>8313.552218</v>
      </c>
      <c r="S51" s="27">
        <f t="shared" si="15"/>
        <v>8317.055236</v>
      </c>
    </row>
    <row r="52" ht="15.75" customHeight="1">
      <c r="A52" s="24">
        <v>2.611606086E9</v>
      </c>
      <c r="B52" s="24" t="s">
        <v>89</v>
      </c>
      <c r="C52" s="24">
        <v>31773.0</v>
      </c>
      <c r="D52" s="27">
        <f t="shared" si="1"/>
        <v>32168.33465</v>
      </c>
      <c r="E52" s="27">
        <f t="shared" si="2"/>
        <v>32345.61747</v>
      </c>
      <c r="F52" s="27">
        <f t="shared" si="3"/>
        <v>33270.69973</v>
      </c>
      <c r="G52" s="27">
        <f t="shared" si="4"/>
        <v>33457.38439</v>
      </c>
      <c r="H52" s="27">
        <f t="shared" si="5"/>
        <v>33638.24489</v>
      </c>
      <c r="I52" s="27">
        <f t="shared" si="6"/>
        <v>33812.96925</v>
      </c>
      <c r="J52" s="27">
        <f t="shared" si="7"/>
        <v>33981.74466</v>
      </c>
      <c r="K52" s="27">
        <f t="shared" si="8"/>
        <v>34067.7964</v>
      </c>
      <c r="L52" s="27">
        <f t="shared" si="9"/>
        <v>34231.97489</v>
      </c>
      <c r="M52" s="27">
        <f t="shared" si="10"/>
        <v>34392.8461</v>
      </c>
      <c r="N52" s="27">
        <f t="shared" si="11"/>
        <v>34550.01482</v>
      </c>
      <c r="O52" s="24">
        <v>30565.0</v>
      </c>
      <c r="P52" s="32">
        <f t="shared" si="12"/>
        <v>30565</v>
      </c>
      <c r="Q52" s="27">
        <f t="shared" si="13"/>
        <v>32592.92941</v>
      </c>
      <c r="R52" s="27">
        <f t="shared" si="14"/>
        <v>32606.66284</v>
      </c>
      <c r="S52" s="27">
        <f t="shared" si="15"/>
        <v>32620.40206</v>
      </c>
    </row>
    <row r="53" ht="15.75" customHeight="1">
      <c r="A53" s="24">
        <v>2.611606013E9</v>
      </c>
      <c r="B53" s="24" t="s">
        <v>90</v>
      </c>
      <c r="C53" s="24">
        <v>20462.0</v>
      </c>
      <c r="D53" s="27">
        <f t="shared" si="1"/>
        <v>20716.59786</v>
      </c>
      <c r="E53" s="27">
        <f t="shared" si="2"/>
        <v>20830.76904</v>
      </c>
      <c r="F53" s="27">
        <f t="shared" si="3"/>
        <v>21426.52749</v>
      </c>
      <c r="G53" s="27">
        <f t="shared" si="4"/>
        <v>21546.75351</v>
      </c>
      <c r="H53" s="27">
        <f t="shared" si="5"/>
        <v>21663.22875</v>
      </c>
      <c r="I53" s="27">
        <f t="shared" si="6"/>
        <v>21775.75227</v>
      </c>
      <c r="J53" s="27">
        <f t="shared" si="7"/>
        <v>21884.44463</v>
      </c>
      <c r="K53" s="27">
        <f t="shared" si="8"/>
        <v>21939.86246</v>
      </c>
      <c r="L53" s="27">
        <f t="shared" si="9"/>
        <v>22045.59438</v>
      </c>
      <c r="M53" s="27">
        <f t="shared" si="10"/>
        <v>22149.19639</v>
      </c>
      <c r="N53" s="27">
        <f t="shared" si="11"/>
        <v>22250.41398</v>
      </c>
      <c r="O53" s="24">
        <v>19694.0</v>
      </c>
      <c r="P53" s="32">
        <f t="shared" si="12"/>
        <v>19694</v>
      </c>
      <c r="Q53" s="27">
        <f t="shared" si="13"/>
        <v>21000.65931</v>
      </c>
      <c r="R53" s="27">
        <f t="shared" si="14"/>
        <v>21009.5082</v>
      </c>
      <c r="S53" s="27">
        <f t="shared" si="15"/>
        <v>21018.36081</v>
      </c>
    </row>
    <row r="54" ht="15.75" customHeight="1">
      <c r="A54" s="24">
        <v>2.611606071E9</v>
      </c>
      <c r="B54" s="24" t="s">
        <v>91</v>
      </c>
      <c r="C54" s="24">
        <v>51862.0</v>
      </c>
      <c r="D54" s="27">
        <f t="shared" si="1"/>
        <v>52507.29147</v>
      </c>
      <c r="E54" s="27">
        <f t="shared" si="2"/>
        <v>52796.66426</v>
      </c>
      <c r="F54" s="27">
        <f t="shared" si="3"/>
        <v>54306.64494</v>
      </c>
      <c r="G54" s="27">
        <f t="shared" si="4"/>
        <v>54611.36402</v>
      </c>
      <c r="H54" s="27">
        <f t="shared" si="5"/>
        <v>54906.57655</v>
      </c>
      <c r="I54" s="27">
        <f t="shared" si="6"/>
        <v>55191.77324</v>
      </c>
      <c r="J54" s="27">
        <f t="shared" si="7"/>
        <v>55467.25967</v>
      </c>
      <c r="K54" s="27">
        <f t="shared" si="8"/>
        <v>55607.71904</v>
      </c>
      <c r="L54" s="27">
        <f t="shared" si="9"/>
        <v>55875.70207</v>
      </c>
      <c r="M54" s="27">
        <f t="shared" si="10"/>
        <v>56138.28674</v>
      </c>
      <c r="N54" s="27">
        <f t="shared" si="11"/>
        <v>56394.82796</v>
      </c>
      <c r="O54" s="63">
        <v>49944.0</v>
      </c>
      <c r="P54" s="32">
        <f t="shared" si="12"/>
        <v>49944</v>
      </c>
      <c r="Q54" s="27">
        <f t="shared" si="13"/>
        <v>53257.68907</v>
      </c>
      <c r="R54" s="27">
        <f t="shared" si="14"/>
        <v>53280.12986</v>
      </c>
      <c r="S54" s="27">
        <f t="shared" si="15"/>
        <v>53302.5801</v>
      </c>
    </row>
    <row r="55" ht="15.75" customHeight="1">
      <c r="A55" s="24">
        <v>2.611606073E9</v>
      </c>
      <c r="B55" s="24" t="s">
        <v>92</v>
      </c>
      <c r="C55" s="24">
        <v>10203.0</v>
      </c>
      <c r="D55" s="27">
        <f t="shared" si="1"/>
        <v>10329.95054</v>
      </c>
      <c r="E55" s="27">
        <f t="shared" si="2"/>
        <v>10386.8799</v>
      </c>
      <c r="F55" s="27">
        <f t="shared" si="3"/>
        <v>10683.94389</v>
      </c>
      <c r="G55" s="27">
        <f t="shared" si="4"/>
        <v>10743.89239</v>
      </c>
      <c r="H55" s="27">
        <f t="shared" si="5"/>
        <v>10801.97062</v>
      </c>
      <c r="I55" s="27">
        <f t="shared" si="6"/>
        <v>10858.07841</v>
      </c>
      <c r="J55" s="27">
        <f t="shared" si="7"/>
        <v>10912.27585</v>
      </c>
      <c r="K55" s="27">
        <f t="shared" si="8"/>
        <v>10939.90894</v>
      </c>
      <c r="L55" s="27">
        <f t="shared" si="9"/>
        <v>10992.63022</v>
      </c>
      <c r="M55" s="27">
        <f t="shared" si="10"/>
        <v>11044.28945</v>
      </c>
      <c r="N55" s="27">
        <f t="shared" si="11"/>
        <v>11094.75974</v>
      </c>
      <c r="O55" s="24">
        <v>9849.0</v>
      </c>
      <c r="P55" s="32">
        <f t="shared" si="12"/>
        <v>9849</v>
      </c>
      <c r="Q55" s="27">
        <f t="shared" si="13"/>
        <v>10502.46235</v>
      </c>
      <c r="R55" s="27">
        <f t="shared" si="14"/>
        <v>10506.88769</v>
      </c>
      <c r="S55" s="27">
        <f t="shared" si="15"/>
        <v>10511.3149</v>
      </c>
    </row>
    <row r="56" ht="15.75" customHeight="1">
      <c r="A56" s="24">
        <v>2.611606009E9</v>
      </c>
      <c r="B56" s="24" t="s">
        <v>93</v>
      </c>
      <c r="C56" s="24">
        <v>12622.0</v>
      </c>
      <c r="D56" s="27">
        <f t="shared" si="1"/>
        <v>12779.04888</v>
      </c>
      <c r="E56" s="27">
        <f t="shared" si="2"/>
        <v>12849.47546</v>
      </c>
      <c r="F56" s="27">
        <f t="shared" si="3"/>
        <v>13216.9695</v>
      </c>
      <c r="G56" s="27">
        <f t="shared" si="4"/>
        <v>13291.13101</v>
      </c>
      <c r="H56" s="27">
        <f t="shared" si="5"/>
        <v>13362.97885</v>
      </c>
      <c r="I56" s="27">
        <f t="shared" si="6"/>
        <v>13432.38907</v>
      </c>
      <c r="J56" s="27">
        <f t="shared" si="7"/>
        <v>13499.43603</v>
      </c>
      <c r="K56" s="27">
        <f t="shared" si="8"/>
        <v>13533.62056</v>
      </c>
      <c r="L56" s="27">
        <f t="shared" si="9"/>
        <v>13598.84138</v>
      </c>
      <c r="M56" s="27">
        <f t="shared" si="10"/>
        <v>13662.74836</v>
      </c>
      <c r="N56" s="27">
        <f t="shared" si="11"/>
        <v>13725.1845</v>
      </c>
      <c r="O56" s="24">
        <v>12257.0</v>
      </c>
      <c r="P56" s="32">
        <f t="shared" si="12"/>
        <v>12257</v>
      </c>
      <c r="Q56" s="27">
        <f t="shared" si="13"/>
        <v>13070.22855</v>
      </c>
      <c r="R56" s="27">
        <f t="shared" si="14"/>
        <v>13075.73586</v>
      </c>
      <c r="S56" s="27">
        <f t="shared" si="15"/>
        <v>13081.24548</v>
      </c>
    </row>
    <row r="57" ht="15.75" customHeight="1">
      <c r="A57" s="24">
        <v>2.611606072E9</v>
      </c>
      <c r="B57" s="24" t="s">
        <v>94</v>
      </c>
      <c r="C57" s="24">
        <v>31991.0</v>
      </c>
      <c r="D57" s="27">
        <f t="shared" si="1"/>
        <v>32389.04711</v>
      </c>
      <c r="E57" s="27">
        <f t="shared" si="2"/>
        <v>32567.5463</v>
      </c>
      <c r="F57" s="27">
        <f t="shared" si="3"/>
        <v>33498.97571</v>
      </c>
      <c r="G57" s="27">
        <f t="shared" si="4"/>
        <v>33686.94124</v>
      </c>
      <c r="H57" s="27">
        <f t="shared" si="5"/>
        <v>33869.04266</v>
      </c>
      <c r="I57" s="27">
        <f t="shared" si="6"/>
        <v>34044.96583</v>
      </c>
      <c r="J57" s="27">
        <f t="shared" si="7"/>
        <v>34214.89923</v>
      </c>
      <c r="K57" s="27">
        <f t="shared" si="8"/>
        <v>34301.54139</v>
      </c>
      <c r="L57" s="27">
        <f t="shared" si="9"/>
        <v>34466.84634</v>
      </c>
      <c r="M57" s="27">
        <f t="shared" si="10"/>
        <v>34628.82132</v>
      </c>
      <c r="N57" s="27">
        <f t="shared" si="11"/>
        <v>34787.0684</v>
      </c>
      <c r="O57" s="24">
        <v>31130.0</v>
      </c>
      <c r="P57" s="32">
        <f t="shared" si="12"/>
        <v>31130</v>
      </c>
      <c r="Q57" s="27">
        <f t="shared" si="13"/>
        <v>33195.41608</v>
      </c>
      <c r="R57" s="27">
        <f t="shared" si="14"/>
        <v>33209.40338</v>
      </c>
      <c r="S57" s="27">
        <f t="shared" si="15"/>
        <v>33223.39657</v>
      </c>
    </row>
    <row r="58" ht="15.75" customHeight="1">
      <c r="A58" s="24">
        <v>2.611606002E9</v>
      </c>
      <c r="B58" s="24" t="s">
        <v>95</v>
      </c>
      <c r="C58" s="24">
        <v>27814.0</v>
      </c>
      <c r="D58" s="27">
        <f t="shared" si="1"/>
        <v>28160.07491</v>
      </c>
      <c r="E58" s="27">
        <f t="shared" si="2"/>
        <v>28315.26782</v>
      </c>
      <c r="F58" s="27">
        <f t="shared" si="3"/>
        <v>29125.08238</v>
      </c>
      <c r="G58" s="27">
        <f t="shared" si="4"/>
        <v>29288.50563</v>
      </c>
      <c r="H58" s="27">
        <f t="shared" si="5"/>
        <v>29446.83044</v>
      </c>
      <c r="I58" s="27">
        <f t="shared" si="6"/>
        <v>29599.78368</v>
      </c>
      <c r="J58" s="27">
        <f t="shared" si="7"/>
        <v>29747.52922</v>
      </c>
      <c r="K58" s="27">
        <f t="shared" si="8"/>
        <v>29822.85869</v>
      </c>
      <c r="L58" s="27">
        <f t="shared" si="9"/>
        <v>29966.58011</v>
      </c>
      <c r="M58" s="27">
        <f t="shared" si="10"/>
        <v>30107.40634</v>
      </c>
      <c r="N58" s="27">
        <f t="shared" si="11"/>
        <v>30244.99142</v>
      </c>
      <c r="O58" s="24">
        <v>27103.0</v>
      </c>
      <c r="P58" s="32">
        <f t="shared" si="12"/>
        <v>27103</v>
      </c>
      <c r="Q58" s="27">
        <f t="shared" si="13"/>
        <v>28901.23232</v>
      </c>
      <c r="R58" s="27">
        <f t="shared" si="14"/>
        <v>28913.41021</v>
      </c>
      <c r="S58" s="27">
        <f t="shared" si="15"/>
        <v>28925.59323</v>
      </c>
    </row>
    <row r="59" ht="15.75" customHeight="1">
      <c r="A59" s="24">
        <v>2.611606063E9</v>
      </c>
      <c r="B59" s="24" t="s">
        <v>96</v>
      </c>
      <c r="C59" s="24">
        <v>11680.0</v>
      </c>
      <c r="D59" s="27">
        <f t="shared" si="1"/>
        <v>11825.32807</v>
      </c>
      <c r="E59" s="27">
        <f t="shared" si="2"/>
        <v>11890.4986</v>
      </c>
      <c r="F59" s="27">
        <f t="shared" si="3"/>
        <v>12230.56598</v>
      </c>
      <c r="G59" s="27">
        <f t="shared" si="4"/>
        <v>12299.1927</v>
      </c>
      <c r="H59" s="27">
        <f t="shared" si="5"/>
        <v>12365.67842</v>
      </c>
      <c r="I59" s="27">
        <f t="shared" si="6"/>
        <v>12429.90844</v>
      </c>
      <c r="J59" s="27">
        <f t="shared" si="7"/>
        <v>12491.95158</v>
      </c>
      <c r="K59" s="27">
        <f t="shared" si="8"/>
        <v>12523.58487</v>
      </c>
      <c r="L59" s="27">
        <f t="shared" si="9"/>
        <v>12583.93815</v>
      </c>
      <c r="M59" s="27">
        <f t="shared" si="10"/>
        <v>12643.07565</v>
      </c>
      <c r="N59" s="27">
        <f t="shared" si="11"/>
        <v>12700.85208</v>
      </c>
      <c r="O59" s="24">
        <v>11412.0</v>
      </c>
      <c r="P59" s="32">
        <f t="shared" si="12"/>
        <v>11412</v>
      </c>
      <c r="Q59" s="27">
        <f t="shared" si="13"/>
        <v>12169.16442</v>
      </c>
      <c r="R59" s="27">
        <f t="shared" si="14"/>
        <v>12174.29205</v>
      </c>
      <c r="S59" s="27">
        <f t="shared" si="15"/>
        <v>12179.42183</v>
      </c>
    </row>
    <row r="60" ht="15.75" customHeight="1">
      <c r="A60" s="24">
        <v>2.611606088E9</v>
      </c>
      <c r="B60" s="24" t="s">
        <v>97</v>
      </c>
      <c r="C60" s="24">
        <v>20768.0</v>
      </c>
      <c r="D60" s="27">
        <f t="shared" si="1"/>
        <v>21026.40525</v>
      </c>
      <c r="E60" s="27">
        <f t="shared" si="2"/>
        <v>21142.28382</v>
      </c>
      <c r="F60" s="27">
        <f t="shared" si="3"/>
        <v>21746.95156</v>
      </c>
      <c r="G60" s="27">
        <f t="shared" si="4"/>
        <v>21868.97551</v>
      </c>
      <c r="H60" s="27">
        <f t="shared" si="5"/>
        <v>21987.19258</v>
      </c>
      <c r="I60" s="27">
        <f t="shared" si="6"/>
        <v>22101.39884</v>
      </c>
      <c r="J60" s="27">
        <f t="shared" si="7"/>
        <v>22211.71665</v>
      </c>
      <c r="K60" s="27">
        <f t="shared" si="8"/>
        <v>22267.96323</v>
      </c>
      <c r="L60" s="27">
        <f t="shared" si="9"/>
        <v>22375.27632</v>
      </c>
      <c r="M60" s="27">
        <f t="shared" si="10"/>
        <v>22480.42766</v>
      </c>
      <c r="N60" s="27">
        <f t="shared" si="11"/>
        <v>22583.1589</v>
      </c>
      <c r="O60" s="24">
        <v>20449.0</v>
      </c>
      <c r="P60" s="32">
        <f t="shared" si="12"/>
        <v>20449</v>
      </c>
      <c r="Q60" s="27">
        <f t="shared" si="13"/>
        <v>21805.75212</v>
      </c>
      <c r="R60" s="27">
        <f t="shared" si="14"/>
        <v>21814.94024</v>
      </c>
      <c r="S60" s="27">
        <f t="shared" si="15"/>
        <v>21824.13224</v>
      </c>
    </row>
    <row r="61" ht="15.75" customHeight="1">
      <c r="A61" s="24">
        <v>2.611606024E9</v>
      </c>
      <c r="B61" s="24" t="s">
        <v>98</v>
      </c>
      <c r="C61" s="24">
        <v>32113.0</v>
      </c>
      <c r="D61" s="27">
        <f t="shared" si="1"/>
        <v>32512.56509</v>
      </c>
      <c r="E61" s="27">
        <f t="shared" si="2"/>
        <v>32691.745</v>
      </c>
      <c r="F61" s="27">
        <f t="shared" si="3"/>
        <v>33626.72648</v>
      </c>
      <c r="G61" s="27">
        <f t="shared" si="4"/>
        <v>33815.40883</v>
      </c>
      <c r="H61" s="27">
        <f t="shared" si="5"/>
        <v>33998.20471</v>
      </c>
      <c r="I61" s="27">
        <f t="shared" si="6"/>
        <v>34174.79878</v>
      </c>
      <c r="J61" s="27">
        <f t="shared" si="7"/>
        <v>34345.38023</v>
      </c>
      <c r="K61" s="27">
        <f t="shared" si="8"/>
        <v>34432.35281</v>
      </c>
      <c r="L61" s="27">
        <f t="shared" si="9"/>
        <v>34598.28816</v>
      </c>
      <c r="M61" s="27">
        <f t="shared" si="10"/>
        <v>34760.88084</v>
      </c>
      <c r="N61" s="27">
        <f t="shared" si="11"/>
        <v>34919.73141</v>
      </c>
      <c r="O61" s="24">
        <v>31783.0</v>
      </c>
      <c r="P61" s="32">
        <f t="shared" si="12"/>
        <v>31783</v>
      </c>
      <c r="Q61" s="27">
        <f t="shared" si="13"/>
        <v>33891.74138</v>
      </c>
      <c r="R61" s="27">
        <f t="shared" si="14"/>
        <v>33906.02209</v>
      </c>
      <c r="S61" s="27">
        <f t="shared" si="15"/>
        <v>33920.30881</v>
      </c>
    </row>
    <row r="62" ht="15.75" customHeight="1">
      <c r="A62" s="24">
        <v>2.611606044E9</v>
      </c>
      <c r="B62" s="24" t="s">
        <v>99</v>
      </c>
      <c r="C62" s="24">
        <v>20304.0</v>
      </c>
      <c r="D62" s="27">
        <f t="shared" si="1"/>
        <v>20556.63195</v>
      </c>
      <c r="E62" s="27">
        <f t="shared" si="2"/>
        <v>20669.92154</v>
      </c>
      <c r="F62" s="27">
        <f t="shared" si="3"/>
        <v>21261.07977</v>
      </c>
      <c r="G62" s="27">
        <f t="shared" si="4"/>
        <v>21380.37745</v>
      </c>
      <c r="H62" s="27">
        <f t="shared" si="5"/>
        <v>21495.9533</v>
      </c>
      <c r="I62" s="27">
        <f t="shared" si="6"/>
        <v>21607.60796</v>
      </c>
      <c r="J62" s="27">
        <f t="shared" si="7"/>
        <v>21715.46104</v>
      </c>
      <c r="K62" s="27">
        <f t="shared" si="8"/>
        <v>21770.45095</v>
      </c>
      <c r="L62" s="27">
        <f t="shared" si="9"/>
        <v>21875.36645</v>
      </c>
      <c r="M62" s="27">
        <f t="shared" si="10"/>
        <v>21978.16849</v>
      </c>
      <c r="N62" s="27">
        <f t="shared" si="11"/>
        <v>22078.60451</v>
      </c>
      <c r="O62" s="24">
        <v>20126.0</v>
      </c>
      <c r="P62" s="32">
        <f t="shared" si="12"/>
        <v>20126</v>
      </c>
      <c r="Q62" s="27">
        <f t="shared" si="13"/>
        <v>21461.32168</v>
      </c>
      <c r="R62" s="27">
        <f t="shared" si="14"/>
        <v>21470.36468</v>
      </c>
      <c r="S62" s="27">
        <f t="shared" si="15"/>
        <v>21479.41148</v>
      </c>
    </row>
    <row r="63" ht="15.75" customHeight="1">
      <c r="A63" s="24">
        <v>2.611606007E9</v>
      </c>
      <c r="B63" s="24" t="s">
        <v>100</v>
      </c>
      <c r="C63" s="24">
        <v>998.0</v>
      </c>
      <c r="D63" s="27">
        <f t="shared" si="1"/>
        <v>1010.417587</v>
      </c>
      <c r="E63" s="27">
        <f t="shared" si="2"/>
        <v>1015.986096</v>
      </c>
      <c r="F63" s="27">
        <f t="shared" si="3"/>
        <v>1045.043223</v>
      </c>
      <c r="G63" s="27">
        <f t="shared" si="4"/>
        <v>1050.907047</v>
      </c>
      <c r="H63" s="27">
        <f t="shared" si="5"/>
        <v>1056.587933</v>
      </c>
      <c r="I63" s="27">
        <f t="shared" si="6"/>
        <v>1062.076081</v>
      </c>
      <c r="J63" s="27">
        <f t="shared" si="7"/>
        <v>1067.37737</v>
      </c>
      <c r="K63" s="27">
        <f t="shared" si="8"/>
        <v>1070.080282</v>
      </c>
      <c r="L63" s="27">
        <f t="shared" si="9"/>
        <v>1075.237181</v>
      </c>
      <c r="M63" s="27">
        <f t="shared" si="10"/>
        <v>1080.290196</v>
      </c>
      <c r="N63" s="27">
        <f t="shared" si="11"/>
        <v>1085.226916</v>
      </c>
      <c r="O63" s="24">
        <v>990.0</v>
      </c>
      <c r="P63" s="32">
        <f t="shared" si="12"/>
        <v>990</v>
      </c>
      <c r="Q63" s="27">
        <f t="shared" si="13"/>
        <v>1055.68461</v>
      </c>
      <c r="R63" s="27">
        <f t="shared" si="14"/>
        <v>1056.129436</v>
      </c>
      <c r="S63" s="27">
        <f t="shared" si="15"/>
        <v>1056.574449</v>
      </c>
    </row>
    <row r="64" ht="15.75" customHeight="1">
      <c r="A64" s="24">
        <v>2.611606093E9</v>
      </c>
      <c r="B64" s="24" t="s">
        <v>101</v>
      </c>
      <c r="C64" s="24">
        <v>29153.0</v>
      </c>
      <c r="D64" s="27">
        <f t="shared" si="1"/>
        <v>29515.73538</v>
      </c>
      <c r="E64" s="27">
        <f t="shared" si="2"/>
        <v>29678.39947</v>
      </c>
      <c r="F64" s="27">
        <f t="shared" si="3"/>
        <v>30527.19949</v>
      </c>
      <c r="G64" s="27">
        <f t="shared" si="4"/>
        <v>30698.49013</v>
      </c>
      <c r="H64" s="27">
        <f t="shared" si="5"/>
        <v>30864.43689</v>
      </c>
      <c r="I64" s="27">
        <f t="shared" si="6"/>
        <v>31024.75349</v>
      </c>
      <c r="J64" s="27">
        <f t="shared" si="7"/>
        <v>31179.61168</v>
      </c>
      <c r="K64" s="27">
        <f t="shared" si="8"/>
        <v>31258.5676</v>
      </c>
      <c r="L64" s="27">
        <f t="shared" si="9"/>
        <v>31409.20795</v>
      </c>
      <c r="M64" s="27">
        <f t="shared" si="10"/>
        <v>31556.81372</v>
      </c>
      <c r="N64" s="27">
        <f t="shared" si="11"/>
        <v>31701.02232</v>
      </c>
      <c r="O64" s="24">
        <v>29195.0</v>
      </c>
      <c r="P64" s="32">
        <f t="shared" si="12"/>
        <v>29195</v>
      </c>
      <c r="Q64" s="27">
        <f t="shared" si="13"/>
        <v>31132.03252</v>
      </c>
      <c r="R64" s="27">
        <f t="shared" si="14"/>
        <v>31145.15039</v>
      </c>
      <c r="S64" s="27">
        <f t="shared" si="15"/>
        <v>31158.27379</v>
      </c>
    </row>
    <row r="65" ht="15.75" customHeight="1">
      <c r="A65" s="24">
        <v>2.611606069E9</v>
      </c>
      <c r="B65" s="24" t="s">
        <v>102</v>
      </c>
      <c r="C65" s="24">
        <v>70283.0</v>
      </c>
      <c r="D65" s="27">
        <f t="shared" si="1"/>
        <v>71157.49424</v>
      </c>
      <c r="E65" s="27">
        <f t="shared" si="2"/>
        <v>71549.65011</v>
      </c>
      <c r="F65" s="27">
        <f t="shared" si="3"/>
        <v>73595.96479</v>
      </c>
      <c r="G65" s="27">
        <f t="shared" si="4"/>
        <v>74008.91785</v>
      </c>
      <c r="H65" s="27">
        <f t="shared" si="5"/>
        <v>74408.98769</v>
      </c>
      <c r="I65" s="27">
        <f t="shared" si="6"/>
        <v>74795.48415</v>
      </c>
      <c r="J65" s="27">
        <f t="shared" si="7"/>
        <v>75168.82132</v>
      </c>
      <c r="K65" s="27">
        <f t="shared" si="8"/>
        <v>75359.17082</v>
      </c>
      <c r="L65" s="27">
        <f t="shared" si="9"/>
        <v>75722.33946</v>
      </c>
      <c r="M65" s="27">
        <f t="shared" si="10"/>
        <v>76078.19226</v>
      </c>
      <c r="N65" s="27">
        <f t="shared" si="11"/>
        <v>76425.85503</v>
      </c>
      <c r="O65" s="24">
        <v>70946.0</v>
      </c>
      <c r="P65" s="32">
        <f t="shared" si="12"/>
        <v>70946</v>
      </c>
      <c r="Q65" s="27">
        <f t="shared" si="13"/>
        <v>75653.13168</v>
      </c>
      <c r="R65" s="27">
        <f t="shared" si="14"/>
        <v>75685.00906</v>
      </c>
      <c r="S65" s="27">
        <f t="shared" si="15"/>
        <v>75716.89988</v>
      </c>
    </row>
    <row r="66" ht="15.75" customHeight="1">
      <c r="A66" s="24">
        <v>2.61160608E9</v>
      </c>
      <c r="B66" s="24" t="s">
        <v>103</v>
      </c>
      <c r="C66" s="24">
        <v>16194.0</v>
      </c>
      <c r="D66" s="27">
        <f t="shared" si="1"/>
        <v>16395.49339</v>
      </c>
      <c r="E66" s="27">
        <f t="shared" si="2"/>
        <v>16485.85055</v>
      </c>
      <c r="F66" s="27">
        <f t="shared" si="3"/>
        <v>16957.34465</v>
      </c>
      <c r="G66" s="27">
        <f t="shared" si="4"/>
        <v>17052.49371</v>
      </c>
      <c r="H66" s="27">
        <f t="shared" si="5"/>
        <v>17144.67434</v>
      </c>
      <c r="I66" s="27">
        <f t="shared" si="6"/>
        <v>17233.72751</v>
      </c>
      <c r="J66" s="27">
        <f t="shared" si="7"/>
        <v>17319.74862</v>
      </c>
      <c r="K66" s="27">
        <f t="shared" si="8"/>
        <v>17363.60731</v>
      </c>
      <c r="L66" s="27">
        <f t="shared" si="9"/>
        <v>17447.28548</v>
      </c>
      <c r="M66" s="27">
        <f t="shared" si="10"/>
        <v>17529.278</v>
      </c>
      <c r="N66" s="27">
        <f t="shared" si="11"/>
        <v>17609.38344</v>
      </c>
      <c r="O66" s="63">
        <v>16559.0</v>
      </c>
      <c r="P66" s="32">
        <f t="shared" si="12"/>
        <v>16559</v>
      </c>
      <c r="Q66" s="27">
        <f t="shared" si="13"/>
        <v>17657.65804</v>
      </c>
      <c r="R66" s="27">
        <f t="shared" si="14"/>
        <v>17665.09832</v>
      </c>
      <c r="S66" s="27">
        <f t="shared" si="15"/>
        <v>17672.54172</v>
      </c>
    </row>
    <row r="67" ht="15.75" customHeight="1">
      <c r="A67" s="24">
        <v>2.611606092E9</v>
      </c>
      <c r="B67" s="24" t="s">
        <v>104</v>
      </c>
      <c r="C67" s="24">
        <v>122689.0</v>
      </c>
      <c r="D67" s="27">
        <f t="shared" si="1"/>
        <v>124215.5544</v>
      </c>
      <c r="E67" s="27">
        <f t="shared" si="2"/>
        <v>124900.1184</v>
      </c>
      <c r="F67" s="27">
        <f t="shared" si="3"/>
        <v>128472.2525</v>
      </c>
      <c r="G67" s="27">
        <f t="shared" si="4"/>
        <v>129193.121</v>
      </c>
      <c r="H67" s="27">
        <f t="shared" si="5"/>
        <v>129891.4999</v>
      </c>
      <c r="I67" s="27">
        <f t="shared" si="6"/>
        <v>130566.1846</v>
      </c>
      <c r="J67" s="27">
        <f t="shared" si="7"/>
        <v>131217.8979</v>
      </c>
      <c r="K67" s="27">
        <f t="shared" si="8"/>
        <v>131550.1801</v>
      </c>
      <c r="L67" s="27">
        <f t="shared" si="9"/>
        <v>132184.1428</v>
      </c>
      <c r="M67" s="27">
        <f t="shared" si="10"/>
        <v>132805.3346</v>
      </c>
      <c r="N67" s="27">
        <f t="shared" si="11"/>
        <v>133412.2295</v>
      </c>
      <c r="O67" s="24">
        <v>125805.0</v>
      </c>
      <c r="P67" s="32">
        <f t="shared" si="12"/>
        <v>125805</v>
      </c>
      <c r="Q67" s="27">
        <f t="shared" si="13"/>
        <v>134151.9216</v>
      </c>
      <c r="R67" s="27">
        <f t="shared" si="14"/>
        <v>134208.4482</v>
      </c>
      <c r="S67" s="27">
        <f t="shared" si="15"/>
        <v>134264.9986</v>
      </c>
    </row>
    <row r="68" ht="15.75" customHeight="1">
      <c r="A68" s="24">
        <v>2.611606016E9</v>
      </c>
      <c r="B68" s="24" t="s">
        <v>105</v>
      </c>
      <c r="C68" s="24">
        <v>10399.0</v>
      </c>
      <c r="D68" s="27">
        <f t="shared" si="1"/>
        <v>10528.38926</v>
      </c>
      <c r="E68" s="27">
        <f t="shared" si="2"/>
        <v>10586.41224</v>
      </c>
      <c r="F68" s="27">
        <f t="shared" si="3"/>
        <v>10889.18284</v>
      </c>
      <c r="G68" s="27">
        <f t="shared" si="4"/>
        <v>10950.28295</v>
      </c>
      <c r="H68" s="27">
        <f t="shared" si="5"/>
        <v>11009.47687</v>
      </c>
      <c r="I68" s="27">
        <f t="shared" si="6"/>
        <v>11066.66249</v>
      </c>
      <c r="J68" s="27">
        <f t="shared" si="7"/>
        <v>11121.90107</v>
      </c>
      <c r="K68" s="27">
        <f t="shared" si="8"/>
        <v>11150.06499</v>
      </c>
      <c r="L68" s="27">
        <f t="shared" si="9"/>
        <v>11203.79904</v>
      </c>
      <c r="M68" s="27">
        <f t="shared" si="10"/>
        <v>11256.45065</v>
      </c>
      <c r="N68" s="27">
        <f t="shared" si="11"/>
        <v>11307.89048</v>
      </c>
      <c r="O68" s="24">
        <v>10741.0</v>
      </c>
      <c r="P68" s="32">
        <f t="shared" si="12"/>
        <v>10741</v>
      </c>
      <c r="Q68" s="27">
        <f t="shared" si="13"/>
        <v>11453.64485</v>
      </c>
      <c r="R68" s="27">
        <f t="shared" si="14"/>
        <v>11458.47098</v>
      </c>
      <c r="S68" s="27">
        <f t="shared" si="15"/>
        <v>11463.29915</v>
      </c>
    </row>
    <row r="69" ht="15.75" customHeight="1">
      <c r="A69" s="24">
        <v>2.611606011E9</v>
      </c>
      <c r="B69" s="24" t="s">
        <v>106</v>
      </c>
      <c r="C69" s="24">
        <v>8533.0</v>
      </c>
      <c r="D69" s="27">
        <f t="shared" si="1"/>
        <v>8639.171611</v>
      </c>
      <c r="E69" s="27">
        <f t="shared" si="2"/>
        <v>8686.782926</v>
      </c>
      <c r="F69" s="27">
        <f t="shared" si="3"/>
        <v>8935.224273</v>
      </c>
      <c r="G69" s="27">
        <f t="shared" si="4"/>
        <v>8985.360557</v>
      </c>
      <c r="H69" s="27">
        <f t="shared" si="5"/>
        <v>9033.9327</v>
      </c>
      <c r="I69" s="27">
        <f t="shared" si="6"/>
        <v>9080.85691</v>
      </c>
      <c r="J69" s="27">
        <f t="shared" si="7"/>
        <v>9126.183463</v>
      </c>
      <c r="K69" s="27">
        <f t="shared" si="8"/>
        <v>9149.293636</v>
      </c>
      <c r="L69" s="27">
        <f t="shared" si="9"/>
        <v>9193.385635</v>
      </c>
      <c r="M69" s="27">
        <f t="shared" si="10"/>
        <v>9236.589425</v>
      </c>
      <c r="N69" s="27">
        <f t="shared" si="11"/>
        <v>9278.798869</v>
      </c>
      <c r="O69" s="24">
        <v>8876.0</v>
      </c>
      <c r="P69" s="32">
        <f t="shared" si="12"/>
        <v>8876</v>
      </c>
      <c r="Q69" s="27">
        <f t="shared" si="13"/>
        <v>9464.905658</v>
      </c>
      <c r="R69" s="27">
        <f t="shared" si="14"/>
        <v>9468.893813</v>
      </c>
      <c r="S69" s="27">
        <f t="shared" si="15"/>
        <v>9472.883649</v>
      </c>
    </row>
    <row r="70" ht="15.75" customHeight="1">
      <c r="A70" s="24">
        <v>2.611606003E9</v>
      </c>
      <c r="B70" s="24" t="s">
        <v>107</v>
      </c>
      <c r="C70" s="24">
        <v>12573.0</v>
      </c>
      <c r="D70" s="27">
        <f t="shared" si="1"/>
        <v>12729.4392</v>
      </c>
      <c r="E70" s="27">
        <f t="shared" si="2"/>
        <v>12799.59237</v>
      </c>
      <c r="F70" s="27">
        <f t="shared" si="3"/>
        <v>13165.65977</v>
      </c>
      <c r="G70" s="27">
        <f t="shared" si="4"/>
        <v>13239.53337</v>
      </c>
      <c r="H70" s="27">
        <f t="shared" si="5"/>
        <v>13311.10229</v>
      </c>
      <c r="I70" s="27">
        <f t="shared" si="6"/>
        <v>13380.24305</v>
      </c>
      <c r="J70" s="27">
        <f t="shared" si="7"/>
        <v>13447.02973</v>
      </c>
      <c r="K70" s="27">
        <f t="shared" si="8"/>
        <v>13481.08155</v>
      </c>
      <c r="L70" s="27">
        <f t="shared" si="9"/>
        <v>13546.04917</v>
      </c>
      <c r="M70" s="27">
        <f t="shared" si="10"/>
        <v>13609.70806</v>
      </c>
      <c r="N70" s="27">
        <f t="shared" si="11"/>
        <v>13671.90181</v>
      </c>
      <c r="O70" s="24">
        <v>13147.0</v>
      </c>
      <c r="P70" s="32">
        <f t="shared" si="12"/>
        <v>13147</v>
      </c>
      <c r="Q70" s="27">
        <f t="shared" si="13"/>
        <v>14019.27836</v>
      </c>
      <c r="R70" s="27">
        <f t="shared" si="14"/>
        <v>14025.18555</v>
      </c>
      <c r="S70" s="27">
        <f t="shared" si="15"/>
        <v>14031.09524</v>
      </c>
    </row>
    <row r="71" ht="15.75" customHeight="1">
      <c r="A71" s="24">
        <v>2.611606064E9</v>
      </c>
      <c r="B71" s="24" t="s">
        <v>108</v>
      </c>
      <c r="C71" s="24">
        <v>3734.0</v>
      </c>
      <c r="D71" s="27">
        <f t="shared" si="1"/>
        <v>3780.460189</v>
      </c>
      <c r="E71" s="27">
        <f t="shared" si="2"/>
        <v>3801.294673</v>
      </c>
      <c r="F71" s="27">
        <f t="shared" si="3"/>
        <v>3910.011419</v>
      </c>
      <c r="G71" s="27">
        <f t="shared" si="4"/>
        <v>3931.950817</v>
      </c>
      <c r="H71" s="27">
        <f t="shared" si="5"/>
        <v>3953.205754</v>
      </c>
      <c r="I71" s="27">
        <f t="shared" si="6"/>
        <v>3973.739564</v>
      </c>
      <c r="J71" s="27">
        <f t="shared" si="7"/>
        <v>3993.574247</v>
      </c>
      <c r="K71" s="27">
        <f t="shared" si="8"/>
        <v>4003.687148</v>
      </c>
      <c r="L71" s="27">
        <f t="shared" si="9"/>
        <v>4022.981596</v>
      </c>
      <c r="M71" s="27">
        <f t="shared" si="10"/>
        <v>4041.887368</v>
      </c>
      <c r="N71" s="27">
        <f t="shared" si="11"/>
        <v>4060.358019</v>
      </c>
      <c r="O71" s="24">
        <v>3946.0</v>
      </c>
      <c r="P71" s="32">
        <f t="shared" si="12"/>
        <v>3946</v>
      </c>
      <c r="Q71" s="27">
        <f t="shared" si="13"/>
        <v>4207.809568</v>
      </c>
      <c r="R71" s="27">
        <f t="shared" si="14"/>
        <v>4209.582581</v>
      </c>
      <c r="S71" s="27">
        <f t="shared" si="15"/>
        <v>4211.35634</v>
      </c>
    </row>
    <row r="72" ht="15.75" customHeight="1">
      <c r="A72" s="24">
        <v>2.611606091E9</v>
      </c>
      <c r="B72" s="24" t="s">
        <v>109</v>
      </c>
      <c r="C72" s="24">
        <v>48488.0</v>
      </c>
      <c r="D72" s="27">
        <f t="shared" si="1"/>
        <v>49091.31057</v>
      </c>
      <c r="E72" s="27">
        <f t="shared" si="2"/>
        <v>49361.85755</v>
      </c>
      <c r="F72" s="27">
        <f t="shared" si="3"/>
        <v>50773.60302</v>
      </c>
      <c r="G72" s="27">
        <f t="shared" si="4"/>
        <v>51058.49791</v>
      </c>
      <c r="H72" s="27">
        <f t="shared" si="5"/>
        <v>51334.50472</v>
      </c>
      <c r="I72" s="27">
        <f t="shared" si="6"/>
        <v>51601.14729</v>
      </c>
      <c r="J72" s="27">
        <f t="shared" si="7"/>
        <v>51858.71132</v>
      </c>
      <c r="K72" s="27">
        <f t="shared" si="8"/>
        <v>51990.03279</v>
      </c>
      <c r="L72" s="27">
        <f t="shared" si="9"/>
        <v>52240.58158</v>
      </c>
      <c r="M72" s="27">
        <f t="shared" si="10"/>
        <v>52486.08321</v>
      </c>
      <c r="N72" s="27">
        <f t="shared" si="11"/>
        <v>52725.93456</v>
      </c>
      <c r="O72" s="24">
        <v>52158.0</v>
      </c>
      <c r="P72" s="32">
        <f t="shared" si="12"/>
        <v>52158</v>
      </c>
      <c r="Q72" s="27">
        <f t="shared" si="13"/>
        <v>55618.58374</v>
      </c>
      <c r="R72" s="27">
        <f t="shared" si="14"/>
        <v>55642.01932</v>
      </c>
      <c r="S72" s="27">
        <f t="shared" si="15"/>
        <v>55665.46478</v>
      </c>
    </row>
    <row r="73" ht="15.75" customHeight="1">
      <c r="A73" s="24">
        <v>2.611606039E9</v>
      </c>
      <c r="B73" s="24" t="s">
        <v>110</v>
      </c>
      <c r="C73" s="24">
        <v>7275.0</v>
      </c>
      <c r="D73" s="27">
        <f t="shared" si="1"/>
        <v>7365.518982</v>
      </c>
      <c r="E73" s="27">
        <f t="shared" si="2"/>
        <v>7406.111073</v>
      </c>
      <c r="F73" s="27">
        <f t="shared" si="3"/>
        <v>7617.9253</v>
      </c>
      <c r="G73" s="27">
        <f t="shared" si="4"/>
        <v>7660.67011</v>
      </c>
      <c r="H73" s="27">
        <f t="shared" si="5"/>
        <v>7702.081378</v>
      </c>
      <c r="I73" s="27">
        <f t="shared" si="6"/>
        <v>7742.087662</v>
      </c>
      <c r="J73" s="27">
        <f t="shared" si="7"/>
        <v>7780.731828</v>
      </c>
      <c r="K73" s="27">
        <f t="shared" si="8"/>
        <v>7800.434924</v>
      </c>
      <c r="L73" s="27">
        <f t="shared" si="9"/>
        <v>7838.026543</v>
      </c>
      <c r="M73" s="27">
        <f t="shared" si="10"/>
        <v>7874.860901</v>
      </c>
      <c r="N73" s="27">
        <f t="shared" si="11"/>
        <v>7910.847507</v>
      </c>
      <c r="O73" s="24">
        <v>7996.0</v>
      </c>
      <c r="P73" s="32">
        <f t="shared" si="12"/>
        <v>7996</v>
      </c>
      <c r="Q73" s="27">
        <f t="shared" si="13"/>
        <v>8526.519338</v>
      </c>
      <c r="R73" s="27">
        <f t="shared" si="14"/>
        <v>8530.112092</v>
      </c>
      <c r="S73" s="27">
        <f t="shared" si="15"/>
        <v>8533.70636</v>
      </c>
    </row>
    <row r="74" ht="15.75" customHeight="1">
      <c r="A74" s="24">
        <v>2.611606084E9</v>
      </c>
      <c r="B74" s="24" t="s">
        <v>111</v>
      </c>
      <c r="C74" s="24">
        <v>8838.0</v>
      </c>
      <c r="D74" s="27">
        <f t="shared" si="1"/>
        <v>8947.966565</v>
      </c>
      <c r="E74" s="27">
        <f t="shared" si="2"/>
        <v>8997.279679</v>
      </c>
      <c r="F74" s="27">
        <f t="shared" si="3"/>
        <v>9254.60121</v>
      </c>
      <c r="G74" s="27">
        <f t="shared" si="4"/>
        <v>9306.529544</v>
      </c>
      <c r="H74" s="27">
        <f t="shared" si="5"/>
        <v>9356.83783</v>
      </c>
      <c r="I74" s="27">
        <f t="shared" si="6"/>
        <v>9405.43928</v>
      </c>
      <c r="J74" s="27">
        <f t="shared" si="7"/>
        <v>9452.385965</v>
      </c>
      <c r="K74" s="27">
        <f t="shared" si="8"/>
        <v>9476.322179</v>
      </c>
      <c r="L74" s="27">
        <f t="shared" si="9"/>
        <v>9521.990184</v>
      </c>
      <c r="M74" s="27">
        <f t="shared" si="10"/>
        <v>9566.738233</v>
      </c>
      <c r="N74" s="27">
        <f t="shared" si="11"/>
        <v>9610.456394</v>
      </c>
      <c r="O74" s="24">
        <v>9835.0</v>
      </c>
      <c r="P74" s="32">
        <f t="shared" si="12"/>
        <v>9835</v>
      </c>
      <c r="Q74" s="27">
        <f t="shared" si="13"/>
        <v>10487.53348</v>
      </c>
      <c r="R74" s="27">
        <f t="shared" si="14"/>
        <v>10491.95253</v>
      </c>
      <c r="S74" s="27">
        <f t="shared" si="15"/>
        <v>10496.37344</v>
      </c>
    </row>
    <row r="75" ht="15.75" customHeight="1">
      <c r="A75" s="24">
        <v>2.611606048E9</v>
      </c>
      <c r="B75" s="24" t="s">
        <v>112</v>
      </c>
      <c r="C75" s="24">
        <v>29044.0</v>
      </c>
      <c r="D75" s="27">
        <f t="shared" si="1"/>
        <v>29405.37915</v>
      </c>
      <c r="E75" s="27">
        <f t="shared" si="2"/>
        <v>29567.43505</v>
      </c>
      <c r="F75" s="27">
        <f t="shared" si="3"/>
        <v>30413.0615</v>
      </c>
      <c r="G75" s="27">
        <f t="shared" si="4"/>
        <v>30583.71171</v>
      </c>
      <c r="H75" s="27">
        <f t="shared" si="5"/>
        <v>30749.03801</v>
      </c>
      <c r="I75" s="27">
        <f t="shared" si="6"/>
        <v>30908.7552</v>
      </c>
      <c r="J75" s="27">
        <f t="shared" si="7"/>
        <v>31063.03439</v>
      </c>
      <c r="K75" s="27">
        <f t="shared" si="8"/>
        <v>31141.69511</v>
      </c>
      <c r="L75" s="27">
        <f t="shared" si="9"/>
        <v>31291.77222</v>
      </c>
      <c r="M75" s="27">
        <f t="shared" si="10"/>
        <v>31438.82612</v>
      </c>
      <c r="N75" s="27">
        <f t="shared" si="11"/>
        <v>31582.49553</v>
      </c>
      <c r="O75" s="24">
        <v>32450.0</v>
      </c>
      <c r="P75" s="32">
        <f t="shared" si="12"/>
        <v>32450</v>
      </c>
      <c r="Q75" s="27">
        <f t="shared" si="13"/>
        <v>34602.99556</v>
      </c>
      <c r="R75" s="27">
        <f t="shared" si="14"/>
        <v>34617.57596</v>
      </c>
      <c r="S75" s="27">
        <f t="shared" si="15"/>
        <v>34632.16251</v>
      </c>
    </row>
    <row r="76" ht="15.75" customHeight="1">
      <c r="A76" s="24">
        <v>2.611606062E9</v>
      </c>
      <c r="B76" s="24" t="s">
        <v>113</v>
      </c>
      <c r="C76" s="24">
        <v>22838.0</v>
      </c>
      <c r="D76" s="27">
        <f t="shared" si="1"/>
        <v>23122.16117</v>
      </c>
      <c r="E76" s="27">
        <f t="shared" si="2"/>
        <v>23249.58965</v>
      </c>
      <c r="F76" s="27">
        <f t="shared" si="3"/>
        <v>23914.52619</v>
      </c>
      <c r="G76" s="27">
        <f t="shared" si="4"/>
        <v>24048.71257</v>
      </c>
      <c r="H76" s="27">
        <f t="shared" si="5"/>
        <v>24178.71265</v>
      </c>
      <c r="I76" s="27">
        <f t="shared" si="6"/>
        <v>24304.30213</v>
      </c>
      <c r="J76" s="27">
        <f t="shared" si="7"/>
        <v>24425.6156</v>
      </c>
      <c r="K76" s="27">
        <f t="shared" si="8"/>
        <v>24487.46842</v>
      </c>
      <c r="L76" s="27">
        <f t="shared" si="9"/>
        <v>24605.47769</v>
      </c>
      <c r="M76" s="27">
        <f t="shared" si="10"/>
        <v>24721.10973</v>
      </c>
      <c r="N76" s="27">
        <f t="shared" si="11"/>
        <v>24834.08046</v>
      </c>
      <c r="O76" s="24">
        <v>25832.0</v>
      </c>
      <c r="P76" s="32">
        <f t="shared" si="12"/>
        <v>25832</v>
      </c>
      <c r="Q76" s="27">
        <f t="shared" si="13"/>
        <v>27545.90389</v>
      </c>
      <c r="R76" s="27">
        <f t="shared" si="14"/>
        <v>27557.5107</v>
      </c>
      <c r="S76" s="27">
        <f t="shared" si="15"/>
        <v>27569.1224</v>
      </c>
    </row>
    <row r="77" ht="15.75" customHeight="1">
      <c r="A77" s="24">
        <v>2.611606058E9</v>
      </c>
      <c r="B77" s="24" t="s">
        <v>114</v>
      </c>
      <c r="C77" s="24">
        <v>5913.0</v>
      </c>
      <c r="D77" s="27">
        <f t="shared" si="1"/>
        <v>5986.572335</v>
      </c>
      <c r="E77" s="27">
        <f t="shared" si="2"/>
        <v>6019.564917</v>
      </c>
      <c r="F77" s="27">
        <f t="shared" si="3"/>
        <v>6191.724027</v>
      </c>
      <c r="G77" s="27">
        <f t="shared" si="4"/>
        <v>6226.466304</v>
      </c>
      <c r="H77" s="27">
        <f t="shared" si="5"/>
        <v>6260.124699</v>
      </c>
      <c r="I77" s="27">
        <f t="shared" si="6"/>
        <v>6292.641147</v>
      </c>
      <c r="J77" s="27">
        <f t="shared" si="7"/>
        <v>6324.050488</v>
      </c>
      <c r="K77" s="27">
        <f t="shared" si="8"/>
        <v>6340.064839</v>
      </c>
      <c r="L77" s="27">
        <f t="shared" si="9"/>
        <v>6370.618687</v>
      </c>
      <c r="M77" s="27">
        <f t="shared" si="10"/>
        <v>6400.557046</v>
      </c>
      <c r="N77" s="27">
        <f t="shared" si="11"/>
        <v>6429.806365</v>
      </c>
      <c r="O77" s="24">
        <v>6738.0</v>
      </c>
      <c r="P77" s="32">
        <f t="shared" si="12"/>
        <v>6738</v>
      </c>
      <c r="Q77" s="27">
        <f t="shared" si="13"/>
        <v>7185.053439</v>
      </c>
      <c r="R77" s="27">
        <f t="shared" si="14"/>
        <v>7188.08095</v>
      </c>
      <c r="S77" s="27">
        <f t="shared" si="15"/>
        <v>7191.109737</v>
      </c>
    </row>
    <row r="78" ht="15.75" customHeight="1">
      <c r="A78" s="24">
        <v>2.611606059E9</v>
      </c>
      <c r="B78" s="24" t="s">
        <v>115</v>
      </c>
      <c r="C78" s="24">
        <v>17865.0</v>
      </c>
      <c r="D78" s="27">
        <f t="shared" si="1"/>
        <v>18087.28476</v>
      </c>
      <c r="E78" s="27">
        <f t="shared" si="2"/>
        <v>18186.96554</v>
      </c>
      <c r="F78" s="27">
        <f t="shared" si="3"/>
        <v>18707.11141</v>
      </c>
      <c r="G78" s="27">
        <f t="shared" si="4"/>
        <v>18812.07856</v>
      </c>
      <c r="H78" s="27">
        <f t="shared" si="5"/>
        <v>18913.77097</v>
      </c>
      <c r="I78" s="27">
        <f t="shared" si="6"/>
        <v>19012.01321</v>
      </c>
      <c r="J78" s="27">
        <f t="shared" si="7"/>
        <v>19106.91053</v>
      </c>
      <c r="K78" s="27">
        <f t="shared" si="8"/>
        <v>19155.29483</v>
      </c>
      <c r="L78" s="27">
        <f t="shared" si="9"/>
        <v>19247.60745</v>
      </c>
      <c r="M78" s="27">
        <f t="shared" si="10"/>
        <v>19338.06048</v>
      </c>
      <c r="N78" s="27">
        <f t="shared" si="11"/>
        <v>19426.43171</v>
      </c>
      <c r="O78" s="24">
        <v>20872.0</v>
      </c>
      <c r="P78" s="32">
        <f t="shared" si="12"/>
        <v>20872</v>
      </c>
      <c r="Q78" s="27">
        <f t="shared" si="13"/>
        <v>22256.81736</v>
      </c>
      <c r="R78" s="27">
        <f t="shared" si="14"/>
        <v>22266.19555</v>
      </c>
      <c r="S78" s="27">
        <f t="shared" si="15"/>
        <v>22275.57768</v>
      </c>
    </row>
    <row r="79" ht="15.75" customHeight="1">
      <c r="A79" s="24">
        <v>2.611606006E9</v>
      </c>
      <c r="B79" s="24" t="s">
        <v>116</v>
      </c>
      <c r="C79" s="24">
        <v>486.0</v>
      </c>
      <c r="D79" s="27">
        <f t="shared" si="1"/>
        <v>492.0470413</v>
      </c>
      <c r="E79" s="27">
        <f t="shared" si="2"/>
        <v>494.7587603</v>
      </c>
      <c r="F79" s="27">
        <f t="shared" si="3"/>
        <v>508.9088242</v>
      </c>
      <c r="G79" s="27">
        <f t="shared" si="4"/>
        <v>511.7643538</v>
      </c>
      <c r="H79" s="27">
        <f t="shared" si="5"/>
        <v>514.5307972</v>
      </c>
      <c r="I79" s="27">
        <f t="shared" si="6"/>
        <v>517.203382</v>
      </c>
      <c r="J79" s="27">
        <f t="shared" si="7"/>
        <v>519.7849716</v>
      </c>
      <c r="K79" s="27">
        <f t="shared" si="8"/>
        <v>521.1012196</v>
      </c>
      <c r="L79" s="27">
        <f t="shared" si="9"/>
        <v>523.6124948</v>
      </c>
      <c r="M79" s="27">
        <f t="shared" si="10"/>
        <v>526.0731818</v>
      </c>
      <c r="N79" s="27">
        <f t="shared" si="11"/>
        <v>528.4772355</v>
      </c>
      <c r="O79" s="24">
        <v>568.0</v>
      </c>
      <c r="P79" s="32">
        <f t="shared" si="12"/>
        <v>568</v>
      </c>
      <c r="Q79" s="27">
        <f t="shared" si="13"/>
        <v>605.6857158</v>
      </c>
      <c r="R79" s="27">
        <f t="shared" si="14"/>
        <v>605.940929</v>
      </c>
      <c r="S79" s="27">
        <f t="shared" si="15"/>
        <v>606.1962497</v>
      </c>
    </row>
    <row r="80" ht="15.75" customHeight="1">
      <c r="A80" s="24">
        <v>2.611606076E9</v>
      </c>
      <c r="B80" s="24" t="s">
        <v>117</v>
      </c>
      <c r="C80" s="24">
        <v>10236.0</v>
      </c>
      <c r="D80" s="27">
        <f t="shared" si="1"/>
        <v>10363.36114</v>
      </c>
      <c r="E80" s="27">
        <f t="shared" si="2"/>
        <v>10420.47463</v>
      </c>
      <c r="F80" s="27">
        <f t="shared" si="3"/>
        <v>10718.49943</v>
      </c>
      <c r="G80" s="27">
        <f t="shared" si="4"/>
        <v>10778.64182</v>
      </c>
      <c r="H80" s="27">
        <f t="shared" si="5"/>
        <v>10836.9079</v>
      </c>
      <c r="I80" s="27">
        <f t="shared" si="6"/>
        <v>10893.19716</v>
      </c>
      <c r="J80" s="27">
        <f t="shared" si="7"/>
        <v>10947.5699</v>
      </c>
      <c r="K80" s="27">
        <f t="shared" si="8"/>
        <v>10975.29235</v>
      </c>
      <c r="L80" s="27">
        <f t="shared" si="9"/>
        <v>11028.18415</v>
      </c>
      <c r="M80" s="27">
        <f t="shared" si="10"/>
        <v>11080.01047</v>
      </c>
      <c r="N80" s="27">
        <f t="shared" si="11"/>
        <v>11130.644</v>
      </c>
      <c r="O80" s="24">
        <v>12051.0</v>
      </c>
      <c r="P80" s="32">
        <f t="shared" si="12"/>
        <v>12051</v>
      </c>
      <c r="Q80" s="27">
        <f t="shared" si="13"/>
        <v>12850.56085</v>
      </c>
      <c r="R80" s="27">
        <f t="shared" si="14"/>
        <v>12855.97559</v>
      </c>
      <c r="S80" s="27">
        <f t="shared" si="15"/>
        <v>12861.39261</v>
      </c>
    </row>
    <row r="81" ht="15.75" customHeight="1">
      <c r="A81" s="24">
        <v>2.61160604E9</v>
      </c>
      <c r="B81" s="24" t="s">
        <v>118</v>
      </c>
      <c r="C81" s="24">
        <v>2560.0</v>
      </c>
      <c r="D81" s="27">
        <f t="shared" si="1"/>
        <v>2591.852728</v>
      </c>
      <c r="E81" s="27">
        <f t="shared" si="2"/>
        <v>2606.13668</v>
      </c>
      <c r="F81" s="27">
        <f t="shared" si="3"/>
        <v>2680.671996</v>
      </c>
      <c r="G81" s="27">
        <f t="shared" si="4"/>
        <v>2695.713468</v>
      </c>
      <c r="H81" s="27">
        <f t="shared" si="5"/>
        <v>2710.285681</v>
      </c>
      <c r="I81" s="27">
        <f t="shared" si="6"/>
        <v>2724.363494</v>
      </c>
      <c r="J81" s="27">
        <f t="shared" si="7"/>
        <v>2737.96199</v>
      </c>
      <c r="K81" s="27">
        <f t="shared" si="8"/>
        <v>2744.895313</v>
      </c>
      <c r="L81" s="27">
        <f t="shared" si="9"/>
        <v>2758.12343</v>
      </c>
      <c r="M81" s="27">
        <f t="shared" si="10"/>
        <v>2771.085073</v>
      </c>
      <c r="N81" s="27">
        <f t="shared" si="11"/>
        <v>2783.748401</v>
      </c>
      <c r="O81" s="24">
        <v>3026.0</v>
      </c>
      <c r="P81" s="32">
        <f t="shared" si="12"/>
        <v>3026</v>
      </c>
      <c r="Q81" s="27">
        <f t="shared" si="13"/>
        <v>3226.769324</v>
      </c>
      <c r="R81" s="27">
        <f t="shared" si="14"/>
        <v>3228.128963</v>
      </c>
      <c r="S81" s="27">
        <f t="shared" si="15"/>
        <v>3229.489175</v>
      </c>
    </row>
    <row r="82" ht="15.75" customHeight="1">
      <c r="A82" s="24">
        <v>2.61160601E9</v>
      </c>
      <c r="B82" s="24" t="s">
        <v>119</v>
      </c>
      <c r="C82" s="24">
        <v>1546.0</v>
      </c>
      <c r="D82" s="27">
        <f t="shared" si="1"/>
        <v>1565.236061</v>
      </c>
      <c r="E82" s="27">
        <f t="shared" si="2"/>
        <v>1573.862229</v>
      </c>
      <c r="F82" s="27">
        <f t="shared" si="3"/>
        <v>1618.874572</v>
      </c>
      <c r="G82" s="27">
        <f t="shared" si="4"/>
        <v>1627.958212</v>
      </c>
      <c r="H82" s="27">
        <f t="shared" si="5"/>
        <v>1636.758462</v>
      </c>
      <c r="I82" s="27">
        <f t="shared" si="6"/>
        <v>1645.260141</v>
      </c>
      <c r="J82" s="27">
        <f t="shared" si="7"/>
        <v>1653.472358</v>
      </c>
      <c r="K82" s="27">
        <f t="shared" si="8"/>
        <v>1657.659435</v>
      </c>
      <c r="L82" s="27">
        <f t="shared" si="9"/>
        <v>1665.647977</v>
      </c>
      <c r="M82" s="27">
        <f t="shared" si="10"/>
        <v>1673.475595</v>
      </c>
      <c r="N82" s="27">
        <f t="shared" si="11"/>
        <v>1681.123058</v>
      </c>
      <c r="O82" s="24">
        <v>1831.0</v>
      </c>
      <c r="P82" s="32">
        <f t="shared" si="12"/>
        <v>1831</v>
      </c>
      <c r="Q82" s="27">
        <f t="shared" si="13"/>
        <v>1952.483355</v>
      </c>
      <c r="R82" s="27">
        <f t="shared" si="14"/>
        <v>1953.306058</v>
      </c>
      <c r="S82" s="27">
        <f t="shared" si="15"/>
        <v>1954.129108</v>
      </c>
    </row>
    <row r="83" ht="15.75" customHeight="1">
      <c r="A83" s="24">
        <v>2.611606027E9</v>
      </c>
      <c r="B83" s="24" t="s">
        <v>120</v>
      </c>
      <c r="C83" s="24">
        <v>20292.0</v>
      </c>
      <c r="D83" s="27">
        <f t="shared" si="1"/>
        <v>20544.48264</v>
      </c>
      <c r="E83" s="27">
        <f t="shared" si="2"/>
        <v>20657.70528</v>
      </c>
      <c r="F83" s="27">
        <f t="shared" si="3"/>
        <v>21248.51412</v>
      </c>
      <c r="G83" s="27">
        <f t="shared" si="4"/>
        <v>21367.74129</v>
      </c>
      <c r="H83" s="27">
        <f t="shared" si="5"/>
        <v>21483.24884</v>
      </c>
      <c r="I83" s="27">
        <f t="shared" si="6"/>
        <v>21594.8375</v>
      </c>
      <c r="J83" s="27">
        <f t="shared" si="7"/>
        <v>21702.62684</v>
      </c>
      <c r="K83" s="27">
        <f t="shared" si="8"/>
        <v>21757.58426</v>
      </c>
      <c r="L83" s="27">
        <f t="shared" si="9"/>
        <v>21862.43775</v>
      </c>
      <c r="M83" s="27">
        <f t="shared" si="10"/>
        <v>21965.17902</v>
      </c>
      <c r="N83" s="27">
        <f t="shared" si="11"/>
        <v>22065.55568</v>
      </c>
      <c r="O83" s="24">
        <v>24306.0</v>
      </c>
      <c r="P83" s="32">
        <f t="shared" si="12"/>
        <v>24306</v>
      </c>
      <c r="Q83" s="27">
        <f t="shared" si="13"/>
        <v>25918.65671</v>
      </c>
      <c r="R83" s="27">
        <f t="shared" si="14"/>
        <v>25929.57785</v>
      </c>
      <c r="S83" s="27">
        <f t="shared" si="15"/>
        <v>25940.5036</v>
      </c>
    </row>
    <row r="84" ht="15.75" customHeight="1">
      <c r="A84" s="24">
        <v>2.611606057E9</v>
      </c>
      <c r="B84" s="24" t="s">
        <v>121</v>
      </c>
      <c r="C84" s="24">
        <v>4614.0</v>
      </c>
      <c r="D84" s="27">
        <f t="shared" si="1"/>
        <v>4671.409565</v>
      </c>
      <c r="E84" s="27">
        <f t="shared" si="2"/>
        <v>4697.154157</v>
      </c>
      <c r="F84" s="27">
        <f t="shared" si="3"/>
        <v>4831.492417</v>
      </c>
      <c r="G84" s="27">
        <f t="shared" si="4"/>
        <v>4858.602321</v>
      </c>
      <c r="H84" s="27">
        <f t="shared" si="5"/>
        <v>4884.866457</v>
      </c>
      <c r="I84" s="27">
        <f t="shared" si="6"/>
        <v>4910.239515</v>
      </c>
      <c r="J84" s="27">
        <f t="shared" si="7"/>
        <v>4934.748681</v>
      </c>
      <c r="K84" s="27">
        <f t="shared" si="8"/>
        <v>4947.244912</v>
      </c>
      <c r="L84" s="27">
        <f t="shared" si="9"/>
        <v>4971.086525</v>
      </c>
      <c r="M84" s="27">
        <f t="shared" si="10"/>
        <v>4994.447862</v>
      </c>
      <c r="N84" s="27">
        <f t="shared" si="11"/>
        <v>5017.271532</v>
      </c>
      <c r="O84" s="24">
        <v>5542.0</v>
      </c>
      <c r="P84" s="32">
        <f t="shared" si="12"/>
        <v>5542</v>
      </c>
      <c r="Q84" s="27">
        <f t="shared" si="13"/>
        <v>5909.701122</v>
      </c>
      <c r="R84" s="27">
        <f t="shared" si="14"/>
        <v>5912.191247</v>
      </c>
      <c r="S84" s="27">
        <f t="shared" si="15"/>
        <v>5914.682422</v>
      </c>
    </row>
    <row r="85" ht="15.75" customHeight="1">
      <c r="A85" s="24">
        <v>2.611606037E9</v>
      </c>
      <c r="B85" s="24" t="s">
        <v>122</v>
      </c>
      <c r="C85" s="24">
        <v>72.0</v>
      </c>
      <c r="D85" s="27">
        <f t="shared" si="1"/>
        <v>72.89585796</v>
      </c>
      <c r="E85" s="27">
        <f t="shared" si="2"/>
        <v>73.29759412</v>
      </c>
      <c r="F85" s="27">
        <f t="shared" si="3"/>
        <v>75.39389988</v>
      </c>
      <c r="G85" s="27">
        <f t="shared" si="4"/>
        <v>75.8169413</v>
      </c>
      <c r="H85" s="27">
        <f t="shared" si="5"/>
        <v>76.22678477</v>
      </c>
      <c r="I85" s="27">
        <f t="shared" si="6"/>
        <v>76.62272326</v>
      </c>
      <c r="J85" s="27">
        <f t="shared" si="7"/>
        <v>77.00518098</v>
      </c>
      <c r="K85" s="27">
        <f t="shared" si="8"/>
        <v>77.20018069</v>
      </c>
      <c r="L85" s="27">
        <f t="shared" si="9"/>
        <v>77.57222146</v>
      </c>
      <c r="M85" s="27">
        <f t="shared" si="10"/>
        <v>77.93676768</v>
      </c>
      <c r="N85" s="27">
        <f t="shared" si="11"/>
        <v>78.29292378</v>
      </c>
      <c r="O85" s="24">
        <v>89.0</v>
      </c>
      <c r="P85" s="32">
        <f t="shared" si="12"/>
        <v>89</v>
      </c>
      <c r="Q85" s="27">
        <f t="shared" si="13"/>
        <v>94.90498012</v>
      </c>
      <c r="R85" s="27">
        <f t="shared" si="14"/>
        <v>94.94496951</v>
      </c>
      <c r="S85" s="27">
        <f t="shared" si="15"/>
        <v>94.98497575</v>
      </c>
    </row>
    <row r="86" ht="15.75" customHeight="1">
      <c r="A86" s="24">
        <v>2.611606025E9</v>
      </c>
      <c r="B86" s="24" t="s">
        <v>123</v>
      </c>
      <c r="C86" s="24">
        <v>11770.0</v>
      </c>
      <c r="D86" s="27">
        <f t="shared" si="1"/>
        <v>11916.44789</v>
      </c>
      <c r="E86" s="27">
        <f t="shared" si="2"/>
        <v>11982.12059</v>
      </c>
      <c r="F86" s="27">
        <f t="shared" si="3"/>
        <v>12324.80835</v>
      </c>
      <c r="G86" s="27">
        <f t="shared" si="4"/>
        <v>12393.96388</v>
      </c>
      <c r="H86" s="27">
        <f t="shared" si="5"/>
        <v>12460.9619</v>
      </c>
      <c r="I86" s="27">
        <f t="shared" si="6"/>
        <v>12525.68684</v>
      </c>
      <c r="J86" s="27">
        <f t="shared" si="7"/>
        <v>12588.20806</v>
      </c>
      <c r="K86" s="27">
        <f t="shared" si="8"/>
        <v>12620.08509</v>
      </c>
      <c r="L86" s="27">
        <f t="shared" si="9"/>
        <v>12680.90342</v>
      </c>
      <c r="M86" s="27">
        <f t="shared" si="10"/>
        <v>12740.49661</v>
      </c>
      <c r="N86" s="27">
        <f t="shared" si="11"/>
        <v>12798.71823</v>
      </c>
      <c r="O86" s="24">
        <v>15249.0</v>
      </c>
      <c r="P86" s="32">
        <f t="shared" si="12"/>
        <v>15249</v>
      </c>
      <c r="Q86" s="27">
        <f t="shared" si="13"/>
        <v>16260.74204</v>
      </c>
      <c r="R86" s="27">
        <f t="shared" si="14"/>
        <v>16267.59371</v>
      </c>
      <c r="S86" s="27">
        <f t="shared" si="15"/>
        <v>16274.44826</v>
      </c>
    </row>
    <row r="87" ht="15.75" customHeight="1">
      <c r="A87" s="24">
        <v>2.61160607E9</v>
      </c>
      <c r="B87" s="24" t="s">
        <v>124</v>
      </c>
      <c r="C87" s="24">
        <v>9622.0</v>
      </c>
      <c r="D87" s="27">
        <f t="shared" si="1"/>
        <v>9741.721463</v>
      </c>
      <c r="E87" s="27">
        <f t="shared" si="2"/>
        <v>9795.409037</v>
      </c>
      <c r="F87" s="27">
        <f t="shared" si="3"/>
        <v>10075.55701</v>
      </c>
      <c r="G87" s="27">
        <f t="shared" si="4"/>
        <v>10132.09179</v>
      </c>
      <c r="H87" s="27">
        <f t="shared" si="5"/>
        <v>10186.86282</v>
      </c>
      <c r="I87" s="27">
        <f t="shared" si="6"/>
        <v>10239.7756</v>
      </c>
      <c r="J87" s="27">
        <f t="shared" si="7"/>
        <v>10290.88682</v>
      </c>
      <c r="K87" s="27">
        <f t="shared" si="8"/>
        <v>10316.94637</v>
      </c>
      <c r="L87" s="27">
        <f t="shared" si="9"/>
        <v>10366.66548</v>
      </c>
      <c r="M87" s="27">
        <f t="shared" si="10"/>
        <v>10415.38304</v>
      </c>
      <c r="N87" s="27">
        <f t="shared" si="11"/>
        <v>10462.97934</v>
      </c>
      <c r="O87" s="24">
        <v>13813.0</v>
      </c>
      <c r="P87" s="32">
        <f t="shared" si="12"/>
        <v>13813</v>
      </c>
      <c r="Q87" s="27">
        <f t="shared" si="13"/>
        <v>14729.46618</v>
      </c>
      <c r="R87" s="27">
        <f t="shared" si="14"/>
        <v>14735.67263</v>
      </c>
      <c r="S87" s="27">
        <f t="shared" si="15"/>
        <v>14741.88169</v>
      </c>
    </row>
    <row r="88" ht="15.75" customHeight="1">
      <c r="A88" s="24">
        <v>2.611606026E9</v>
      </c>
      <c r="B88" s="24" t="s">
        <v>125</v>
      </c>
      <c r="C88" s="24">
        <v>1058.0</v>
      </c>
      <c r="D88" s="27">
        <f t="shared" si="1"/>
        <v>1071.164135</v>
      </c>
      <c r="E88" s="27">
        <f t="shared" si="2"/>
        <v>1077.067425</v>
      </c>
      <c r="F88" s="27">
        <f t="shared" si="3"/>
        <v>1107.871473</v>
      </c>
      <c r="G88" s="27">
        <f t="shared" si="4"/>
        <v>1114.087832</v>
      </c>
      <c r="H88" s="27">
        <f t="shared" si="5"/>
        <v>1120.110254</v>
      </c>
      <c r="I88" s="27">
        <f t="shared" si="6"/>
        <v>1125.92835</v>
      </c>
      <c r="J88" s="27">
        <f t="shared" si="7"/>
        <v>1131.548354</v>
      </c>
      <c r="K88" s="27">
        <f t="shared" si="8"/>
        <v>1134.413766</v>
      </c>
      <c r="L88" s="27">
        <f t="shared" si="9"/>
        <v>1139.880699</v>
      </c>
      <c r="M88" s="27">
        <f t="shared" si="10"/>
        <v>1145.237503</v>
      </c>
      <c r="N88" s="27">
        <f t="shared" si="11"/>
        <v>1150.471019</v>
      </c>
      <c r="O88" s="24">
        <v>1566.0</v>
      </c>
      <c r="P88" s="32">
        <f t="shared" si="12"/>
        <v>1566</v>
      </c>
      <c r="Q88" s="27">
        <f t="shared" si="13"/>
        <v>1669.901111</v>
      </c>
      <c r="R88" s="27">
        <f t="shared" si="14"/>
        <v>1670.604744</v>
      </c>
      <c r="S88" s="27">
        <f t="shared" si="15"/>
        <v>1671.308674</v>
      </c>
    </row>
    <row r="89" ht="15.75" customHeight="1">
      <c r="A89" s="24">
        <v>2.611606022E9</v>
      </c>
      <c r="B89" s="24" t="s">
        <v>126</v>
      </c>
      <c r="C89" s="24">
        <v>1554.0</v>
      </c>
      <c r="D89" s="27">
        <f t="shared" si="1"/>
        <v>1573.335601</v>
      </c>
      <c r="E89" s="27">
        <f t="shared" si="2"/>
        <v>1582.006407</v>
      </c>
      <c r="F89" s="27">
        <f t="shared" si="3"/>
        <v>1627.251672</v>
      </c>
      <c r="G89" s="27">
        <f t="shared" si="4"/>
        <v>1636.382316</v>
      </c>
      <c r="H89" s="27">
        <f t="shared" si="5"/>
        <v>1645.228105</v>
      </c>
      <c r="I89" s="27">
        <f t="shared" si="6"/>
        <v>1653.773777</v>
      </c>
      <c r="J89" s="27">
        <f t="shared" si="7"/>
        <v>1662.02849</v>
      </c>
      <c r="K89" s="27">
        <f t="shared" si="8"/>
        <v>1666.237233</v>
      </c>
      <c r="L89" s="27">
        <f t="shared" si="9"/>
        <v>1674.267113</v>
      </c>
      <c r="M89" s="27">
        <f t="shared" si="10"/>
        <v>1682.135236</v>
      </c>
      <c r="N89" s="27">
        <f t="shared" si="11"/>
        <v>1689.822272</v>
      </c>
      <c r="O89" s="24">
        <v>2382.0</v>
      </c>
      <c r="P89" s="32">
        <f t="shared" si="12"/>
        <v>2382</v>
      </c>
      <c r="Q89" s="27">
        <f t="shared" si="13"/>
        <v>2540.041153</v>
      </c>
      <c r="R89" s="27">
        <f t="shared" si="14"/>
        <v>2541.111431</v>
      </c>
      <c r="S89" s="27">
        <f t="shared" si="15"/>
        <v>2542.18216</v>
      </c>
    </row>
    <row r="90" ht="15.75" customHeight="1">
      <c r="A90" s="24">
        <v>2.611606083E9</v>
      </c>
      <c r="B90" s="24" t="s">
        <v>127</v>
      </c>
      <c r="C90" s="24">
        <v>7677.0</v>
      </c>
      <c r="D90" s="27">
        <f t="shared" si="1"/>
        <v>7772.520856</v>
      </c>
      <c r="E90" s="27">
        <f t="shared" si="2"/>
        <v>7815.355973</v>
      </c>
      <c r="F90" s="27">
        <f t="shared" si="3"/>
        <v>8038.874574</v>
      </c>
      <c r="G90" s="27">
        <f t="shared" si="4"/>
        <v>8083.981366</v>
      </c>
      <c r="H90" s="27">
        <f t="shared" si="5"/>
        <v>8127.680926</v>
      </c>
      <c r="I90" s="27">
        <f t="shared" si="6"/>
        <v>8169.897867</v>
      </c>
      <c r="J90" s="27">
        <f t="shared" si="7"/>
        <v>8210.677422</v>
      </c>
      <c r="K90" s="27">
        <f t="shared" si="8"/>
        <v>8231.469266</v>
      </c>
      <c r="L90" s="27">
        <f t="shared" si="9"/>
        <v>8271.138113</v>
      </c>
      <c r="M90" s="27">
        <f t="shared" si="10"/>
        <v>8310.007854</v>
      </c>
      <c r="N90" s="27">
        <f t="shared" si="11"/>
        <v>8347.982998</v>
      </c>
      <c r="O90" s="24">
        <v>12768.0</v>
      </c>
      <c r="P90" s="32">
        <f t="shared" si="12"/>
        <v>12768</v>
      </c>
      <c r="Q90" s="27">
        <f t="shared" si="13"/>
        <v>13615.13243</v>
      </c>
      <c r="R90" s="27">
        <f t="shared" si="14"/>
        <v>13620.86933</v>
      </c>
      <c r="S90" s="27">
        <f t="shared" si="15"/>
        <v>13626.60866</v>
      </c>
    </row>
    <row r="91" ht="15.75" customHeight="1">
      <c r="A91" s="24">
        <v>2.611606038E9</v>
      </c>
      <c r="B91" s="24" t="s">
        <v>128</v>
      </c>
      <c r="C91" s="24">
        <v>6287.0</v>
      </c>
      <c r="D91" s="27">
        <f t="shared" si="1"/>
        <v>6365.22582</v>
      </c>
      <c r="E91" s="27">
        <f t="shared" si="2"/>
        <v>6400.305198</v>
      </c>
      <c r="F91" s="27">
        <f t="shared" si="3"/>
        <v>6583.353452</v>
      </c>
      <c r="G91" s="27">
        <f t="shared" si="4"/>
        <v>6620.293193</v>
      </c>
      <c r="H91" s="27">
        <f t="shared" si="5"/>
        <v>6656.080498</v>
      </c>
      <c r="I91" s="27">
        <f t="shared" si="6"/>
        <v>6690.653626</v>
      </c>
      <c r="J91" s="27">
        <f t="shared" si="7"/>
        <v>6724.049623</v>
      </c>
      <c r="K91" s="27">
        <f t="shared" si="8"/>
        <v>6741.076889</v>
      </c>
      <c r="L91" s="27">
        <f t="shared" si="9"/>
        <v>6773.563282</v>
      </c>
      <c r="M91" s="27">
        <f t="shared" si="10"/>
        <v>6805.395256</v>
      </c>
      <c r="N91" s="27">
        <f t="shared" si="11"/>
        <v>6836.494608</v>
      </c>
      <c r="O91" s="24">
        <v>11095.0</v>
      </c>
      <c r="P91" s="32">
        <f t="shared" si="12"/>
        <v>11095</v>
      </c>
      <c r="Q91" s="27">
        <f t="shared" si="13"/>
        <v>11831.13207</v>
      </c>
      <c r="R91" s="27">
        <f t="shared" si="14"/>
        <v>11836.11727</v>
      </c>
      <c r="S91" s="27">
        <f t="shared" si="15"/>
        <v>11841.10456</v>
      </c>
    </row>
    <row r="92" ht="15.75" customHeight="1">
      <c r="A92" s="24">
        <v>2.611606017E9</v>
      </c>
      <c r="B92" s="24" t="s">
        <v>129</v>
      </c>
      <c r="C92" s="24">
        <v>4075.0</v>
      </c>
      <c r="D92" s="27">
        <f t="shared" si="1"/>
        <v>4125.703072</v>
      </c>
      <c r="E92" s="27">
        <f t="shared" si="2"/>
        <v>4148.440223</v>
      </c>
      <c r="F92" s="27">
        <f t="shared" si="3"/>
        <v>4267.085305</v>
      </c>
      <c r="G92" s="27">
        <f t="shared" si="4"/>
        <v>4291.028275</v>
      </c>
      <c r="H92" s="27">
        <f t="shared" si="5"/>
        <v>4314.224277</v>
      </c>
      <c r="I92" s="27">
        <f t="shared" si="6"/>
        <v>4336.633295</v>
      </c>
      <c r="J92" s="27">
        <f t="shared" si="7"/>
        <v>4358.27934</v>
      </c>
      <c r="K92" s="27">
        <f t="shared" si="8"/>
        <v>4369.315782</v>
      </c>
      <c r="L92" s="27">
        <f t="shared" si="9"/>
        <v>4390.372256</v>
      </c>
      <c r="M92" s="27">
        <f t="shared" si="10"/>
        <v>4411.00456</v>
      </c>
      <c r="N92" s="27">
        <f t="shared" si="11"/>
        <v>4431.162005</v>
      </c>
      <c r="O92" s="24">
        <v>7271.0</v>
      </c>
      <c r="P92" s="32">
        <f t="shared" si="12"/>
        <v>7271</v>
      </c>
      <c r="Q92" s="27">
        <f t="shared" si="13"/>
        <v>7753.416971</v>
      </c>
      <c r="R92" s="27">
        <f t="shared" si="14"/>
        <v>7756.68397</v>
      </c>
      <c r="S92" s="27">
        <f t="shared" si="15"/>
        <v>7759.952344</v>
      </c>
    </row>
    <row r="93" ht="15.75" customHeight="1">
      <c r="A93" s="24">
        <v>2.611606005E9</v>
      </c>
      <c r="B93" s="24" t="s">
        <v>130</v>
      </c>
      <c r="C93" s="24">
        <v>246.0</v>
      </c>
      <c r="D93" s="27">
        <f t="shared" si="1"/>
        <v>249.060848</v>
      </c>
      <c r="E93" s="27">
        <f t="shared" si="2"/>
        <v>250.4334466</v>
      </c>
      <c r="F93" s="27">
        <f t="shared" si="3"/>
        <v>257.5958246</v>
      </c>
      <c r="G93" s="27">
        <f t="shared" si="4"/>
        <v>259.0412161</v>
      </c>
      <c r="H93" s="27">
        <f t="shared" si="5"/>
        <v>260.4415146</v>
      </c>
      <c r="I93" s="27">
        <f t="shared" si="6"/>
        <v>261.7943045</v>
      </c>
      <c r="J93" s="27">
        <f t="shared" si="7"/>
        <v>263.101035</v>
      </c>
      <c r="K93" s="27">
        <f t="shared" si="8"/>
        <v>263.767284</v>
      </c>
      <c r="L93" s="27">
        <f t="shared" si="9"/>
        <v>265.0384233</v>
      </c>
      <c r="M93" s="27">
        <f t="shared" si="10"/>
        <v>266.2839562</v>
      </c>
      <c r="N93" s="27">
        <f t="shared" si="11"/>
        <v>267.5008229</v>
      </c>
      <c r="O93" s="24">
        <v>447.0</v>
      </c>
      <c r="P93" s="32">
        <f t="shared" si="12"/>
        <v>447</v>
      </c>
      <c r="Q93" s="27">
        <f t="shared" si="13"/>
        <v>476.6575968</v>
      </c>
      <c r="R93" s="27">
        <f t="shared" si="14"/>
        <v>476.8584424</v>
      </c>
      <c r="S93" s="27">
        <f t="shared" si="15"/>
        <v>477.0593726</v>
      </c>
    </row>
    <row r="94" ht="15.75" customHeight="1">
      <c r="A94" s="24">
        <v>2.611606074E9</v>
      </c>
      <c r="B94" s="24" t="s">
        <v>131</v>
      </c>
      <c r="C94" s="24">
        <v>766.0</v>
      </c>
      <c r="D94" s="27">
        <f t="shared" si="1"/>
        <v>775.5309333</v>
      </c>
      <c r="E94" s="27">
        <f t="shared" si="2"/>
        <v>779.8049597</v>
      </c>
      <c r="F94" s="27">
        <f t="shared" si="3"/>
        <v>802.1073237</v>
      </c>
      <c r="G94" s="27">
        <f t="shared" si="4"/>
        <v>806.6080144</v>
      </c>
      <c r="H94" s="27">
        <f t="shared" si="5"/>
        <v>810.9682935</v>
      </c>
      <c r="I94" s="27">
        <f t="shared" si="6"/>
        <v>815.1806391</v>
      </c>
      <c r="J94" s="27">
        <f t="shared" si="7"/>
        <v>819.2495643</v>
      </c>
      <c r="K94" s="27">
        <f t="shared" si="8"/>
        <v>821.3241445</v>
      </c>
      <c r="L94" s="27">
        <f t="shared" si="9"/>
        <v>825.282245</v>
      </c>
      <c r="M94" s="27">
        <f t="shared" si="10"/>
        <v>829.1606117</v>
      </c>
      <c r="N94" s="27">
        <f t="shared" si="11"/>
        <v>832.9497169</v>
      </c>
      <c r="O94" s="24">
        <v>1819.0</v>
      </c>
      <c r="P94" s="32">
        <f t="shared" si="12"/>
        <v>1819</v>
      </c>
      <c r="Q94" s="27">
        <f t="shared" si="13"/>
        <v>1939.687178</v>
      </c>
      <c r="R94" s="27">
        <f t="shared" si="14"/>
        <v>1940.504489</v>
      </c>
      <c r="S94" s="27">
        <f t="shared" si="15"/>
        <v>1941.322145</v>
      </c>
    </row>
    <row r="95" ht="15.75" customHeight="1">
      <c r="A95" s="24">
        <v>2.611606001E9</v>
      </c>
      <c r="B95" s="24" t="s">
        <v>132</v>
      </c>
      <c r="C95" s="24">
        <v>0.0</v>
      </c>
      <c r="D95" s="27">
        <f t="shared" si="1"/>
        <v>0</v>
      </c>
      <c r="E95" s="27">
        <f t="shared" si="2"/>
        <v>0</v>
      </c>
      <c r="F95" s="27">
        <f t="shared" si="3"/>
        <v>0</v>
      </c>
      <c r="G95" s="27">
        <f t="shared" si="4"/>
        <v>0</v>
      </c>
      <c r="H95" s="27">
        <f t="shared" si="5"/>
        <v>0</v>
      </c>
      <c r="I95" s="27">
        <f t="shared" si="6"/>
        <v>0</v>
      </c>
      <c r="J95" s="27">
        <f t="shared" si="7"/>
        <v>0</v>
      </c>
      <c r="K95" s="27">
        <f t="shared" si="8"/>
        <v>0</v>
      </c>
      <c r="L95" s="27">
        <f t="shared" si="9"/>
        <v>0</v>
      </c>
      <c r="M95" s="27">
        <f t="shared" si="10"/>
        <v>0</v>
      </c>
      <c r="N95" s="27">
        <f t="shared" si="11"/>
        <v>0</v>
      </c>
      <c r="O95" s="24">
        <v>541.0</v>
      </c>
      <c r="P95" s="32">
        <f t="shared" si="12"/>
        <v>541</v>
      </c>
      <c r="Q95" s="27">
        <f t="shared" si="13"/>
        <v>576.8943174</v>
      </c>
      <c r="R95" s="27">
        <f t="shared" si="14"/>
        <v>577.1373989</v>
      </c>
      <c r="S95" s="27">
        <f t="shared" si="15"/>
        <v>577.3805829</v>
      </c>
    </row>
    <row r="96" ht="15.75" customHeight="1">
      <c r="B96" s="32"/>
      <c r="C96" s="64">
        <f t="shared" ref="C96:S96" si="16">SUM(C2:C95)</f>
        <v>1527510</v>
      </c>
      <c r="D96" s="64">
        <f t="shared" si="16"/>
        <v>1546516</v>
      </c>
      <c r="E96" s="64">
        <f t="shared" si="16"/>
        <v>1555039</v>
      </c>
      <c r="F96" s="64">
        <f t="shared" si="16"/>
        <v>1599513</v>
      </c>
      <c r="G96" s="64">
        <f t="shared" si="16"/>
        <v>1608488</v>
      </c>
      <c r="H96" s="64">
        <f t="shared" si="16"/>
        <v>1617183</v>
      </c>
      <c r="I96" s="64">
        <f t="shared" si="16"/>
        <v>1625583</v>
      </c>
      <c r="J96" s="64">
        <f t="shared" si="16"/>
        <v>1633697</v>
      </c>
      <c r="K96" s="64">
        <f t="shared" si="16"/>
        <v>1637834</v>
      </c>
      <c r="L96" s="64">
        <f t="shared" si="16"/>
        <v>1645727</v>
      </c>
      <c r="M96" s="64">
        <f t="shared" si="16"/>
        <v>1653461</v>
      </c>
      <c r="N96" s="64">
        <f t="shared" si="16"/>
        <v>1661017</v>
      </c>
      <c r="O96" s="64">
        <f t="shared" si="16"/>
        <v>1488920</v>
      </c>
      <c r="P96" s="64">
        <f t="shared" si="16"/>
        <v>1488920</v>
      </c>
      <c r="Q96" s="64">
        <f t="shared" si="16"/>
        <v>1587707</v>
      </c>
      <c r="R96" s="64">
        <f t="shared" si="16"/>
        <v>1588376</v>
      </c>
      <c r="S96" s="64">
        <f t="shared" si="16"/>
        <v>1589045.282</v>
      </c>
    </row>
    <row r="97" ht="15.75" customHeight="1">
      <c r="B97" s="32"/>
      <c r="C97" s="32">
        <v>1527510.0</v>
      </c>
      <c r="D97" s="32">
        <v>1546516.0</v>
      </c>
      <c r="E97" s="32">
        <v>1555039.0</v>
      </c>
      <c r="F97" s="32">
        <v>1599513.0</v>
      </c>
      <c r="G97" s="32">
        <v>1608488.0</v>
      </c>
      <c r="H97" s="32">
        <v>1617183.0</v>
      </c>
      <c r="I97" s="32">
        <v>1625583.0</v>
      </c>
      <c r="J97" s="32">
        <v>1633697.0</v>
      </c>
      <c r="K97" s="32">
        <v>1637834.0</v>
      </c>
      <c r="L97" s="32">
        <v>1645727.0</v>
      </c>
      <c r="M97" s="32">
        <v>1653461.0</v>
      </c>
      <c r="N97" s="32">
        <v>1661017.0</v>
      </c>
      <c r="O97" s="32">
        <v>1488920.0</v>
      </c>
      <c r="P97" s="32">
        <v>1488920.0</v>
      </c>
      <c r="Q97" s="32">
        <v>1587707.0</v>
      </c>
      <c r="R97" s="32">
        <v>1588376.0</v>
      </c>
      <c r="S97" s="27">
        <f>R97*(1+(R97-Q97)/Q97)</f>
        <v>1589045.282</v>
      </c>
    </row>
    <row r="98" ht="15.75" customHeight="1">
      <c r="B98" s="32"/>
      <c r="C98" s="24"/>
      <c r="D98" s="32">
        <f t="shared" ref="D98:S98" si="17">(D97-C97)/C97</f>
        <v>0.01244247174</v>
      </c>
      <c r="E98" s="32">
        <f t="shared" si="17"/>
        <v>0.005511097202</v>
      </c>
      <c r="F98" s="32">
        <f t="shared" si="17"/>
        <v>0.02859992579</v>
      </c>
      <c r="G98" s="32">
        <f t="shared" si="17"/>
        <v>0.005611082873</v>
      </c>
      <c r="H98" s="32">
        <f t="shared" si="17"/>
        <v>0.005405697773</v>
      </c>
      <c r="I98" s="32">
        <f t="shared" si="17"/>
        <v>0.005194217352</v>
      </c>
      <c r="J98" s="32">
        <f t="shared" si="17"/>
        <v>0.004991439994</v>
      </c>
      <c r="K98" s="32">
        <f t="shared" si="17"/>
        <v>0.00253229332</v>
      </c>
      <c r="L98" s="32">
        <f t="shared" si="17"/>
        <v>0.004819169708</v>
      </c>
      <c r="M98" s="32">
        <f t="shared" si="17"/>
        <v>0.00469944286</v>
      </c>
      <c r="N98" s="32">
        <f t="shared" si="17"/>
        <v>0.00456980842</v>
      </c>
      <c r="O98" s="32">
        <f t="shared" si="17"/>
        <v>-0.1036094152</v>
      </c>
      <c r="P98" s="32">
        <f t="shared" si="17"/>
        <v>0</v>
      </c>
      <c r="Q98" s="32">
        <f t="shared" si="17"/>
        <v>0.06634809123</v>
      </c>
      <c r="R98" s="32">
        <f t="shared" si="17"/>
        <v>0.0004213623798</v>
      </c>
      <c r="S98" s="32">
        <f t="shared" si="17"/>
        <v>0.0004213623798</v>
      </c>
    </row>
    <row r="99" ht="15.75" customHeight="1">
      <c r="B99" s="32"/>
      <c r="C99" s="24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</row>
    <row r="100" ht="15.75" customHeight="1">
      <c r="B100" s="32"/>
      <c r="C100" s="24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</row>
    <row r="101" ht="15.75" customHeight="1">
      <c r="B101" s="32"/>
      <c r="C101" s="24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</row>
    <row r="102" ht="15.75" customHeight="1">
      <c r="B102" s="32"/>
      <c r="C102" s="24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</row>
    <row r="103" ht="15.75" customHeight="1">
      <c r="B103" s="32"/>
      <c r="C103" s="24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</row>
    <row r="104" ht="15.75" customHeight="1">
      <c r="B104" s="32"/>
      <c r="C104" s="24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</row>
    <row r="105" ht="15.75" customHeight="1">
      <c r="B105" s="32"/>
      <c r="C105" s="24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</row>
    <row r="106" ht="15.75" customHeight="1">
      <c r="B106" s="32"/>
      <c r="C106" s="24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</row>
    <row r="107" ht="15.75" customHeight="1">
      <c r="B107" s="32"/>
      <c r="C107" s="24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</row>
    <row r="108" ht="15.75" customHeight="1">
      <c r="B108" s="32"/>
      <c r="C108" s="24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</row>
    <row r="109" ht="15.75" customHeight="1">
      <c r="B109" s="32"/>
      <c r="C109" s="24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</row>
    <row r="110" ht="15.75" customHeight="1">
      <c r="B110" s="32"/>
      <c r="C110" s="24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</row>
    <row r="111" ht="15.75" customHeight="1">
      <c r="B111" s="32"/>
      <c r="C111" s="24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</row>
    <row r="112" ht="15.75" customHeight="1">
      <c r="B112" s="32"/>
      <c r="C112" s="24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</row>
    <row r="113" ht="15.75" customHeight="1">
      <c r="B113" s="32"/>
      <c r="C113" s="24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</row>
    <row r="114" ht="15.75" customHeight="1">
      <c r="B114" s="32"/>
      <c r="C114" s="24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</row>
    <row r="115" ht="15.75" customHeight="1">
      <c r="B115" s="32"/>
      <c r="C115" s="24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</row>
    <row r="116" ht="15.75" customHeight="1">
      <c r="B116" s="32"/>
      <c r="C116" s="24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</row>
    <row r="117" ht="15.75" customHeight="1">
      <c r="B117" s="32"/>
      <c r="C117" s="24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</row>
    <row r="118" ht="15.75" customHeight="1">
      <c r="B118" s="32"/>
      <c r="C118" s="24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</row>
    <row r="119" ht="15.75" customHeight="1">
      <c r="B119" s="32"/>
      <c r="C119" s="24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</row>
    <row r="120" ht="15.75" customHeight="1">
      <c r="B120" s="32"/>
      <c r="C120" s="24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</row>
    <row r="121" ht="15.75" customHeight="1">
      <c r="B121" s="32"/>
      <c r="C121" s="24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</row>
    <row r="122" ht="15.75" customHeight="1">
      <c r="B122" s="32"/>
      <c r="C122" s="24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</row>
    <row r="123" ht="15.75" customHeight="1">
      <c r="B123" s="32"/>
      <c r="C123" s="24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</row>
    <row r="124" ht="15.75" customHeight="1">
      <c r="B124" s="32"/>
      <c r="C124" s="24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</row>
    <row r="125" ht="15.75" customHeight="1">
      <c r="B125" s="32"/>
      <c r="C125" s="24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</row>
    <row r="126" ht="15.75" customHeight="1">
      <c r="B126" s="32"/>
      <c r="C126" s="24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</row>
    <row r="127" ht="15.75" customHeight="1">
      <c r="B127" s="32"/>
      <c r="C127" s="24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</row>
    <row r="128" ht="15.75" customHeight="1">
      <c r="B128" s="32"/>
      <c r="C128" s="24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</row>
    <row r="129" ht="15.75" customHeight="1">
      <c r="B129" s="32"/>
      <c r="C129" s="24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</row>
    <row r="130" ht="15.75" customHeight="1">
      <c r="B130" s="32"/>
      <c r="C130" s="24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</row>
    <row r="131" ht="15.75" customHeight="1">
      <c r="B131" s="32"/>
      <c r="C131" s="24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</row>
    <row r="132" ht="15.75" customHeight="1">
      <c r="B132" s="32"/>
      <c r="C132" s="24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</row>
    <row r="133" ht="15.75" customHeight="1">
      <c r="B133" s="32"/>
      <c r="C133" s="24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</row>
    <row r="134" ht="15.75" customHeight="1">
      <c r="B134" s="32"/>
      <c r="C134" s="24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</row>
    <row r="135" ht="15.75" customHeight="1">
      <c r="B135" s="32"/>
      <c r="C135" s="24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</row>
    <row r="136" ht="15.75" customHeight="1">
      <c r="B136" s="32"/>
      <c r="C136" s="24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</row>
    <row r="137" ht="15.75" customHeight="1">
      <c r="B137" s="32"/>
      <c r="C137" s="24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</row>
    <row r="138" ht="15.75" customHeight="1">
      <c r="B138" s="32"/>
      <c r="C138" s="24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</row>
    <row r="139" ht="15.75" customHeight="1">
      <c r="B139" s="32"/>
      <c r="C139" s="24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</row>
    <row r="140" ht="15.75" customHeight="1">
      <c r="B140" s="32"/>
      <c r="C140" s="24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</row>
    <row r="141" ht="15.75" customHeight="1">
      <c r="B141" s="32"/>
      <c r="C141" s="24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</row>
    <row r="142" ht="15.75" customHeight="1">
      <c r="B142" s="32"/>
      <c r="C142" s="24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</row>
    <row r="143" ht="15.75" customHeight="1">
      <c r="B143" s="32"/>
      <c r="C143" s="24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</row>
    <row r="144" ht="15.75" customHeight="1">
      <c r="B144" s="32"/>
      <c r="C144" s="24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</row>
    <row r="145" ht="15.75" customHeight="1">
      <c r="B145" s="32"/>
      <c r="C145" s="24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</row>
    <row r="146" ht="15.75" customHeight="1">
      <c r="B146" s="32"/>
      <c r="C146" s="24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</row>
    <row r="147" ht="15.75" customHeight="1">
      <c r="B147" s="32"/>
      <c r="C147" s="24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</row>
    <row r="148" ht="15.75" customHeight="1">
      <c r="B148" s="32"/>
      <c r="C148" s="24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</row>
    <row r="149" ht="15.75" customHeight="1">
      <c r="B149" s="32"/>
      <c r="C149" s="24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</row>
    <row r="150" ht="15.75" customHeight="1">
      <c r="B150" s="32"/>
      <c r="C150" s="24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</row>
    <row r="151" ht="15.75" customHeight="1">
      <c r="B151" s="32"/>
      <c r="C151" s="24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</row>
    <row r="152" ht="15.75" customHeight="1">
      <c r="B152" s="32"/>
      <c r="C152" s="24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</row>
    <row r="153" ht="15.75" customHeight="1">
      <c r="B153" s="32"/>
      <c r="C153" s="24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</row>
    <row r="154" ht="15.75" customHeight="1">
      <c r="B154" s="32"/>
      <c r="C154" s="24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</row>
    <row r="155" ht="15.75" customHeight="1">
      <c r="B155" s="32"/>
      <c r="C155" s="24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</row>
    <row r="156" ht="15.75" customHeight="1">
      <c r="B156" s="32"/>
      <c r="C156" s="24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</row>
    <row r="157" ht="15.75" customHeight="1">
      <c r="B157" s="32"/>
      <c r="C157" s="24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</row>
    <row r="158" ht="15.75" customHeight="1">
      <c r="B158" s="32"/>
      <c r="C158" s="24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</row>
    <row r="159" ht="15.75" customHeight="1">
      <c r="B159" s="32"/>
      <c r="C159" s="24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</row>
    <row r="160" ht="15.75" customHeight="1">
      <c r="B160" s="32"/>
      <c r="C160" s="24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</row>
    <row r="161" ht="15.75" customHeight="1">
      <c r="B161" s="32"/>
      <c r="C161" s="24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</row>
    <row r="162" ht="15.75" customHeight="1">
      <c r="B162" s="32"/>
      <c r="C162" s="24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</row>
    <row r="163" ht="15.75" customHeight="1">
      <c r="B163" s="32"/>
      <c r="C163" s="24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</row>
    <row r="164" ht="15.75" customHeight="1">
      <c r="B164" s="32"/>
      <c r="C164" s="24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</row>
    <row r="165" ht="15.75" customHeight="1">
      <c r="B165" s="32"/>
      <c r="C165" s="24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</row>
    <row r="166" ht="15.75" customHeight="1">
      <c r="B166" s="32"/>
      <c r="C166" s="24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</row>
    <row r="167" ht="15.75" customHeight="1">
      <c r="B167" s="32"/>
      <c r="C167" s="24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</row>
    <row r="168" ht="15.75" customHeight="1">
      <c r="B168" s="32"/>
      <c r="C168" s="24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</row>
    <row r="169" ht="15.75" customHeight="1">
      <c r="B169" s="32"/>
      <c r="C169" s="24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</row>
    <row r="170" ht="15.75" customHeight="1">
      <c r="B170" s="32"/>
      <c r="C170" s="24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</row>
    <row r="171" ht="15.75" customHeight="1">
      <c r="B171" s="32"/>
      <c r="C171" s="24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</row>
    <row r="172" ht="15.75" customHeight="1">
      <c r="B172" s="32"/>
      <c r="C172" s="24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</row>
    <row r="173" ht="15.75" customHeight="1">
      <c r="B173" s="32"/>
      <c r="C173" s="24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</row>
    <row r="174" ht="15.75" customHeight="1">
      <c r="B174" s="32"/>
      <c r="C174" s="24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</row>
    <row r="175" ht="15.75" customHeight="1">
      <c r="B175" s="32"/>
      <c r="C175" s="24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</row>
    <row r="176" ht="15.75" customHeight="1">
      <c r="B176" s="32"/>
      <c r="C176" s="24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</row>
    <row r="177" ht="15.75" customHeight="1">
      <c r="B177" s="32"/>
      <c r="C177" s="24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</row>
    <row r="178" ht="15.75" customHeight="1">
      <c r="B178" s="32"/>
      <c r="C178" s="24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</row>
    <row r="179" ht="15.75" customHeight="1">
      <c r="B179" s="32"/>
      <c r="C179" s="24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</row>
    <row r="180" ht="15.75" customHeight="1">
      <c r="B180" s="32"/>
      <c r="C180" s="24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</row>
    <row r="181" ht="15.75" customHeight="1">
      <c r="B181" s="32"/>
      <c r="C181" s="24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</row>
    <row r="182" ht="15.75" customHeight="1">
      <c r="B182" s="32"/>
      <c r="C182" s="24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</row>
    <row r="183" ht="15.75" customHeight="1">
      <c r="B183" s="32"/>
      <c r="C183" s="24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</row>
    <row r="184" ht="15.75" customHeight="1">
      <c r="B184" s="32"/>
      <c r="C184" s="24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</row>
    <row r="185" ht="15.75" customHeight="1">
      <c r="B185" s="32"/>
      <c r="C185" s="24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</row>
    <row r="186" ht="15.75" customHeight="1">
      <c r="B186" s="32"/>
      <c r="C186" s="24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</row>
    <row r="187" ht="15.75" customHeight="1">
      <c r="B187" s="32"/>
      <c r="C187" s="24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</row>
    <row r="188" ht="15.75" customHeight="1">
      <c r="B188" s="32"/>
      <c r="C188" s="24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</row>
    <row r="189" ht="15.75" customHeight="1">
      <c r="B189" s="32"/>
      <c r="C189" s="24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</row>
    <row r="190" ht="15.75" customHeight="1">
      <c r="B190" s="32"/>
      <c r="C190" s="24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</row>
    <row r="191" ht="15.75" customHeight="1">
      <c r="B191" s="32"/>
      <c r="C191" s="24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</row>
    <row r="192" ht="15.75" customHeight="1">
      <c r="B192" s="32"/>
      <c r="C192" s="24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</row>
    <row r="193" ht="15.75" customHeight="1">
      <c r="B193" s="32"/>
      <c r="C193" s="24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</row>
    <row r="194" ht="15.75" customHeight="1">
      <c r="B194" s="32"/>
      <c r="C194" s="24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</row>
    <row r="195" ht="15.75" customHeight="1">
      <c r="B195" s="32"/>
      <c r="C195" s="24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</row>
    <row r="196" ht="15.75" customHeight="1">
      <c r="B196" s="32"/>
      <c r="C196" s="24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</row>
    <row r="197" ht="15.75" customHeight="1">
      <c r="B197" s="32"/>
      <c r="C197" s="24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</row>
    <row r="198" ht="15.75" customHeight="1">
      <c r="B198" s="32"/>
      <c r="C198" s="24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</row>
    <row r="199" ht="15.75" customHeight="1">
      <c r="B199" s="32"/>
      <c r="C199" s="24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</row>
    <row r="200" ht="15.75" customHeight="1">
      <c r="B200" s="32"/>
      <c r="C200" s="24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</row>
    <row r="201" ht="15.75" customHeight="1">
      <c r="B201" s="32"/>
      <c r="C201" s="24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</row>
    <row r="202" ht="15.75" customHeight="1">
      <c r="B202" s="32"/>
      <c r="C202" s="24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</row>
    <row r="203" ht="15.75" customHeight="1">
      <c r="B203" s="32"/>
      <c r="C203" s="24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</row>
    <row r="204" ht="15.75" customHeight="1">
      <c r="B204" s="32"/>
      <c r="C204" s="24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</row>
    <row r="205" ht="15.75" customHeight="1">
      <c r="B205" s="32"/>
      <c r="C205" s="24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</row>
    <row r="206" ht="15.75" customHeight="1">
      <c r="B206" s="32"/>
      <c r="C206" s="24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</row>
    <row r="207" ht="15.75" customHeight="1">
      <c r="B207" s="32"/>
      <c r="C207" s="24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</row>
    <row r="208" ht="15.75" customHeight="1">
      <c r="B208" s="32"/>
      <c r="C208" s="24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</row>
    <row r="209" ht="15.75" customHeight="1">
      <c r="B209" s="32"/>
      <c r="C209" s="24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</row>
    <row r="210" ht="15.75" customHeight="1">
      <c r="B210" s="32"/>
      <c r="C210" s="24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</row>
    <row r="211" ht="15.75" customHeight="1">
      <c r="B211" s="32"/>
      <c r="C211" s="24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</row>
    <row r="212" ht="15.75" customHeight="1">
      <c r="B212" s="32"/>
      <c r="C212" s="24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</row>
    <row r="213" ht="15.75" customHeight="1">
      <c r="B213" s="32"/>
      <c r="C213" s="24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</row>
    <row r="214" ht="15.75" customHeight="1">
      <c r="B214" s="32"/>
      <c r="C214" s="24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</row>
    <row r="215" ht="15.75" customHeight="1">
      <c r="B215" s="32"/>
      <c r="C215" s="24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</row>
    <row r="216" ht="15.75" customHeight="1">
      <c r="B216" s="32"/>
      <c r="C216" s="24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</row>
    <row r="217" ht="15.75" customHeight="1">
      <c r="B217" s="32"/>
      <c r="C217" s="24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</row>
    <row r="218" ht="15.75" customHeight="1">
      <c r="B218" s="32"/>
      <c r="C218" s="24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</row>
    <row r="219" ht="15.75" customHeight="1">
      <c r="B219" s="32"/>
      <c r="C219" s="24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</row>
    <row r="220" ht="15.75" customHeight="1">
      <c r="B220" s="32"/>
      <c r="C220" s="24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</row>
    <row r="221" ht="15.75" customHeight="1">
      <c r="B221" s="32"/>
      <c r="C221" s="24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</row>
    <row r="222" ht="15.75" customHeight="1">
      <c r="B222" s="32"/>
      <c r="C222" s="24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</row>
    <row r="223" ht="15.75" customHeight="1">
      <c r="B223" s="32"/>
      <c r="C223" s="24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</row>
    <row r="224" ht="15.75" customHeight="1">
      <c r="B224" s="32"/>
      <c r="C224" s="24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</row>
    <row r="225" ht="15.75" customHeight="1">
      <c r="B225" s="32"/>
      <c r="C225" s="24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</row>
    <row r="226" ht="15.75" customHeight="1">
      <c r="B226" s="32"/>
      <c r="C226" s="24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</row>
    <row r="227" ht="15.75" customHeight="1">
      <c r="B227" s="32"/>
      <c r="C227" s="24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</row>
    <row r="228" ht="15.75" customHeight="1">
      <c r="B228" s="32"/>
      <c r="C228" s="24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</row>
    <row r="229" ht="15.75" customHeight="1">
      <c r="B229" s="32"/>
      <c r="C229" s="24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</row>
    <row r="230" ht="15.75" customHeight="1">
      <c r="B230" s="32"/>
      <c r="C230" s="24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</row>
    <row r="231" ht="15.75" customHeight="1">
      <c r="B231" s="32"/>
      <c r="C231" s="24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</row>
    <row r="232" ht="15.75" customHeight="1">
      <c r="B232" s="32"/>
      <c r="C232" s="24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</row>
    <row r="233" ht="15.75" customHeight="1">
      <c r="B233" s="32"/>
      <c r="C233" s="24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</row>
    <row r="234" ht="15.75" customHeight="1">
      <c r="B234" s="32"/>
      <c r="C234" s="24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</row>
    <row r="235" ht="15.75" customHeight="1">
      <c r="B235" s="32"/>
      <c r="C235" s="24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</row>
    <row r="236" ht="15.75" customHeight="1">
      <c r="B236" s="32"/>
      <c r="C236" s="24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</row>
    <row r="237" ht="15.75" customHeight="1">
      <c r="B237" s="32"/>
      <c r="C237" s="24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</row>
    <row r="238" ht="15.75" customHeight="1">
      <c r="B238" s="32"/>
      <c r="C238" s="24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</row>
    <row r="239" ht="15.75" customHeight="1">
      <c r="B239" s="32"/>
      <c r="C239" s="24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</row>
    <row r="240" ht="15.75" customHeight="1">
      <c r="B240" s="32"/>
      <c r="C240" s="24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</row>
    <row r="241" ht="15.75" customHeight="1">
      <c r="B241" s="32"/>
      <c r="C241" s="24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</row>
    <row r="242" ht="15.75" customHeight="1">
      <c r="B242" s="32"/>
      <c r="C242" s="24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</row>
    <row r="243" ht="15.75" customHeight="1">
      <c r="B243" s="32"/>
      <c r="C243" s="24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</row>
    <row r="244" ht="15.75" customHeight="1">
      <c r="B244" s="32"/>
      <c r="C244" s="24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</row>
    <row r="245" ht="15.75" customHeight="1">
      <c r="B245" s="32"/>
      <c r="C245" s="24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</row>
    <row r="246" ht="15.75" customHeight="1">
      <c r="B246" s="32"/>
      <c r="C246" s="24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</row>
    <row r="247" ht="15.75" customHeight="1">
      <c r="B247" s="32"/>
      <c r="C247" s="24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</row>
    <row r="248" ht="15.75" customHeight="1">
      <c r="B248" s="32"/>
      <c r="C248" s="24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</row>
    <row r="249" ht="15.75" customHeight="1">
      <c r="B249" s="32"/>
      <c r="C249" s="24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</row>
    <row r="250" ht="15.75" customHeight="1">
      <c r="B250" s="32"/>
      <c r="C250" s="24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</row>
    <row r="251" ht="15.75" customHeight="1">
      <c r="B251" s="32"/>
      <c r="C251" s="24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</row>
    <row r="252" ht="15.75" customHeight="1">
      <c r="B252" s="32"/>
      <c r="C252" s="24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</row>
    <row r="253" ht="15.75" customHeight="1">
      <c r="B253" s="32"/>
      <c r="C253" s="24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</row>
    <row r="254" ht="15.75" customHeight="1">
      <c r="B254" s="32"/>
      <c r="C254" s="24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</row>
    <row r="255" ht="15.75" customHeight="1">
      <c r="B255" s="32"/>
      <c r="C255" s="24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</row>
    <row r="256" ht="15.75" customHeight="1">
      <c r="B256" s="32"/>
      <c r="C256" s="24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</row>
    <row r="257" ht="15.75" customHeight="1">
      <c r="B257" s="32"/>
      <c r="C257" s="24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</row>
    <row r="258" ht="15.75" customHeight="1">
      <c r="B258" s="32"/>
      <c r="C258" s="24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</row>
    <row r="259" ht="15.75" customHeight="1">
      <c r="B259" s="32"/>
      <c r="C259" s="24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</row>
    <row r="260" ht="15.75" customHeight="1">
      <c r="B260" s="32"/>
      <c r="C260" s="24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</row>
    <row r="261" ht="15.75" customHeight="1">
      <c r="B261" s="32"/>
      <c r="C261" s="24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</row>
    <row r="262" ht="15.75" customHeight="1">
      <c r="B262" s="32"/>
      <c r="C262" s="24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</row>
    <row r="263" ht="15.75" customHeight="1">
      <c r="B263" s="32"/>
      <c r="C263" s="24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</row>
    <row r="264" ht="15.75" customHeight="1">
      <c r="B264" s="32"/>
      <c r="C264" s="24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</row>
    <row r="265" ht="15.75" customHeight="1">
      <c r="B265" s="32"/>
      <c r="C265" s="24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</row>
    <row r="266" ht="15.75" customHeight="1">
      <c r="B266" s="32"/>
      <c r="C266" s="24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</row>
    <row r="267" ht="15.75" customHeight="1">
      <c r="B267" s="32"/>
      <c r="C267" s="24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</row>
    <row r="268" ht="15.75" customHeight="1">
      <c r="B268" s="32"/>
      <c r="C268" s="24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</row>
    <row r="269" ht="15.75" customHeight="1">
      <c r="B269" s="32"/>
      <c r="C269" s="24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</row>
    <row r="270" ht="15.75" customHeight="1">
      <c r="B270" s="32"/>
      <c r="C270" s="24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</row>
    <row r="271" ht="15.75" customHeight="1">
      <c r="B271" s="32"/>
      <c r="C271" s="24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</row>
    <row r="272" ht="15.75" customHeight="1">
      <c r="B272" s="32"/>
      <c r="C272" s="24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</row>
    <row r="273" ht="15.75" customHeight="1">
      <c r="B273" s="32"/>
      <c r="C273" s="24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</row>
    <row r="274" ht="15.75" customHeight="1">
      <c r="B274" s="32"/>
      <c r="C274" s="24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</row>
    <row r="275" ht="15.75" customHeight="1">
      <c r="B275" s="32"/>
      <c r="C275" s="24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</row>
    <row r="276" ht="15.75" customHeight="1">
      <c r="B276" s="32"/>
      <c r="C276" s="24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</row>
    <row r="277" ht="15.75" customHeight="1">
      <c r="B277" s="32"/>
      <c r="C277" s="24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</row>
    <row r="278" ht="15.75" customHeight="1">
      <c r="B278" s="32"/>
      <c r="C278" s="24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</row>
    <row r="279" ht="15.75" customHeight="1">
      <c r="B279" s="32"/>
      <c r="C279" s="24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</row>
    <row r="280" ht="15.75" customHeight="1">
      <c r="B280" s="32"/>
      <c r="C280" s="24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</row>
    <row r="281" ht="15.75" customHeight="1">
      <c r="B281" s="32"/>
      <c r="C281" s="24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</row>
    <row r="282" ht="15.75" customHeight="1">
      <c r="B282" s="32"/>
      <c r="C282" s="24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</row>
    <row r="283" ht="15.75" customHeight="1">
      <c r="B283" s="32"/>
      <c r="C283" s="24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</row>
    <row r="284" ht="15.75" customHeight="1">
      <c r="B284" s="32"/>
      <c r="C284" s="24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</row>
    <row r="285" ht="15.75" customHeight="1">
      <c r="B285" s="32"/>
      <c r="C285" s="24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</row>
    <row r="286" ht="15.75" customHeight="1">
      <c r="B286" s="32"/>
      <c r="C286" s="24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</row>
    <row r="287" ht="15.75" customHeight="1">
      <c r="B287" s="32"/>
      <c r="C287" s="24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</row>
    <row r="288" ht="15.75" customHeight="1">
      <c r="B288" s="32"/>
      <c r="C288" s="24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</row>
    <row r="289" ht="15.75" customHeight="1">
      <c r="B289" s="32"/>
      <c r="C289" s="24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</row>
    <row r="290" ht="15.75" customHeight="1">
      <c r="B290" s="32"/>
      <c r="C290" s="24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</row>
    <row r="291" ht="15.75" customHeight="1">
      <c r="B291" s="32"/>
      <c r="C291" s="24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</row>
    <row r="292" ht="15.75" customHeight="1">
      <c r="B292" s="32"/>
      <c r="C292" s="24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</row>
    <row r="293" ht="15.75" customHeight="1">
      <c r="B293" s="32"/>
      <c r="C293" s="24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</row>
    <row r="294" ht="15.75" customHeight="1">
      <c r="B294" s="32"/>
      <c r="C294" s="24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</row>
    <row r="295" ht="15.75" customHeight="1">
      <c r="B295" s="32"/>
      <c r="C295" s="24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</row>
    <row r="296" ht="15.75" customHeight="1">
      <c r="B296" s="32"/>
      <c r="C296" s="24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</row>
    <row r="297" ht="15.75" customHeight="1">
      <c r="B297" s="32"/>
      <c r="C297" s="24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</row>
    <row r="298" ht="15.75" customHeight="1">
      <c r="B298" s="32"/>
      <c r="C298" s="24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</row>
    <row r="299" ht="15.75" customHeight="1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</row>
    <row r="300" ht="15.75" customHeight="1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</row>
    <row r="301" ht="15.75" customHeight="1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</row>
    <row r="302" ht="15.75" customHeight="1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</row>
    <row r="303" ht="15.75" customHeight="1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</row>
    <row r="304" ht="15.75" customHeight="1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</row>
    <row r="305" ht="15.75" customHeight="1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</row>
    <row r="306" ht="15.75" customHeight="1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</row>
    <row r="307" ht="15.75" customHeight="1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</row>
    <row r="308" ht="15.75" customHeight="1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</row>
    <row r="309" ht="15.75" customHeight="1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</row>
    <row r="310" ht="15.75" customHeight="1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</row>
    <row r="311" ht="15.75" customHeight="1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</row>
    <row r="312" ht="15.75" customHeight="1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</row>
    <row r="313" ht="15.75" customHeight="1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</row>
    <row r="314" ht="15.75" customHeight="1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</row>
    <row r="315" ht="15.75" customHeight="1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</row>
    <row r="316" ht="15.75" customHeight="1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</row>
    <row r="317" ht="15.75" customHeight="1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</row>
    <row r="318" ht="15.75" customHeight="1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</row>
    <row r="319" ht="15.75" customHeight="1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</row>
    <row r="320" ht="15.75" customHeight="1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</row>
    <row r="321" ht="15.75" customHeight="1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</row>
    <row r="322" ht="15.75" customHeight="1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</row>
    <row r="323" ht="15.75" customHeight="1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</row>
    <row r="324" ht="15.75" customHeight="1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</row>
    <row r="325" ht="15.75" customHeight="1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</row>
    <row r="326" ht="15.75" customHeight="1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</row>
    <row r="327" ht="15.75" customHeight="1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</row>
    <row r="328" ht="15.75" customHeight="1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</row>
    <row r="329" ht="15.75" customHeight="1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</row>
    <row r="330" ht="15.75" customHeight="1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</row>
    <row r="331" ht="15.75" customHeight="1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</row>
    <row r="332" ht="15.75" customHeight="1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</row>
    <row r="333" ht="15.75" customHeight="1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</row>
    <row r="334" ht="15.75" customHeight="1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</row>
    <row r="335" ht="15.75" customHeight="1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</row>
    <row r="336" ht="15.75" customHeight="1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</row>
    <row r="337" ht="15.75" customHeight="1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</row>
    <row r="338" ht="15.75" customHeight="1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</row>
    <row r="339" ht="15.75" customHeight="1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</row>
    <row r="340" ht="15.75" customHeight="1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</row>
    <row r="341" ht="15.75" customHeight="1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</row>
    <row r="342" ht="15.75" customHeight="1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</row>
    <row r="343" ht="15.75" customHeight="1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</row>
    <row r="344" ht="15.75" customHeight="1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</row>
    <row r="345" ht="15.75" customHeight="1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</row>
    <row r="346" ht="15.75" customHeight="1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</row>
    <row r="347" ht="15.75" customHeight="1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</row>
    <row r="348" ht="15.75" customHeight="1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</row>
    <row r="349" ht="15.75" customHeight="1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</row>
    <row r="350" ht="15.75" customHeight="1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</row>
    <row r="351" ht="15.75" customHeight="1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</row>
    <row r="352" ht="15.75" customHeight="1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</row>
    <row r="353" ht="15.75" customHeight="1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</row>
    <row r="354" ht="15.75" customHeight="1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</row>
    <row r="355" ht="15.75" customHeight="1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</row>
    <row r="356" ht="15.75" customHeight="1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</row>
    <row r="357" ht="15.75" customHeight="1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</row>
    <row r="358" ht="15.75" customHeight="1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</row>
    <row r="359" ht="15.75" customHeight="1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</row>
    <row r="360" ht="15.75" customHeight="1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</row>
    <row r="361" ht="15.75" customHeight="1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</row>
    <row r="362" ht="15.75" customHeight="1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</row>
    <row r="363" ht="15.75" customHeight="1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</row>
    <row r="364" ht="15.75" customHeight="1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</row>
    <row r="365" ht="15.75" customHeight="1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</row>
    <row r="366" ht="15.75" customHeight="1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</row>
    <row r="367" ht="15.75" customHeight="1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</row>
    <row r="368" ht="15.75" customHeight="1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</row>
    <row r="369" ht="15.75" customHeight="1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</row>
    <row r="370" ht="15.75" customHeight="1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</row>
    <row r="371" ht="15.75" customHeight="1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</row>
    <row r="372" ht="15.75" customHeight="1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</row>
    <row r="373" ht="15.75" customHeight="1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</row>
    <row r="374" ht="15.75" customHeight="1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</row>
    <row r="375" ht="15.75" customHeight="1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</row>
    <row r="376" ht="15.75" customHeight="1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</row>
    <row r="377" ht="15.75" customHeight="1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</row>
    <row r="378" ht="15.75" customHeight="1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</row>
    <row r="379" ht="15.75" customHeight="1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</row>
    <row r="380" ht="15.75" customHeight="1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</row>
    <row r="381" ht="15.75" customHeight="1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</row>
    <row r="382" ht="15.75" customHeight="1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</row>
    <row r="383" ht="15.75" customHeight="1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</row>
    <row r="384" ht="15.75" customHeight="1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</row>
    <row r="385" ht="15.75" customHeight="1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</row>
    <row r="386" ht="15.75" customHeight="1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</row>
    <row r="387" ht="15.75" customHeight="1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</row>
    <row r="388" ht="15.75" customHeight="1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</row>
    <row r="389" ht="15.75" customHeight="1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</row>
    <row r="390" ht="15.75" customHeight="1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</row>
    <row r="391" ht="15.75" customHeight="1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</row>
    <row r="392" ht="15.75" customHeight="1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</row>
    <row r="393" ht="15.75" customHeight="1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</row>
    <row r="394" ht="15.75" customHeight="1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</row>
    <row r="395" ht="15.75" customHeight="1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</row>
    <row r="396" ht="15.75" customHeight="1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</row>
    <row r="397" ht="15.75" customHeight="1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</row>
    <row r="398" ht="15.75" customHeight="1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</row>
    <row r="399" ht="15.75" customHeight="1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</row>
    <row r="400" ht="15.75" customHeight="1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</row>
    <row r="401" ht="15.75" customHeight="1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</row>
    <row r="402" ht="15.75" customHeight="1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</row>
    <row r="403" ht="15.75" customHeight="1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</row>
    <row r="404" ht="15.75" customHeight="1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</row>
    <row r="405" ht="15.75" customHeight="1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</row>
    <row r="406" ht="15.75" customHeight="1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</row>
    <row r="407" ht="15.75" customHeight="1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</row>
    <row r="408" ht="15.75" customHeight="1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</row>
    <row r="409" ht="15.75" customHeight="1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</row>
    <row r="410" ht="15.75" customHeight="1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</row>
    <row r="411" ht="15.75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</row>
    <row r="412" ht="15.75" customHeight="1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</row>
    <row r="413" ht="15.75" customHeight="1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</row>
    <row r="414" ht="15.75" customHeight="1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</row>
    <row r="415" ht="15.75" customHeight="1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</row>
    <row r="416" ht="15.75" customHeight="1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</row>
    <row r="417" ht="15.75" customHeight="1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</row>
    <row r="418" ht="15.75" customHeight="1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</row>
    <row r="419" ht="15.75" customHeight="1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</row>
    <row r="420" ht="15.75" customHeight="1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</row>
    <row r="421" ht="15.75" customHeight="1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</row>
    <row r="422" ht="15.75" customHeight="1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</row>
    <row r="423" ht="15.75" customHeight="1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</row>
    <row r="424" ht="15.75" customHeight="1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</row>
    <row r="425" ht="15.75" customHeight="1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</row>
    <row r="426" ht="15.75" customHeight="1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</row>
    <row r="427" ht="15.75" customHeight="1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</row>
    <row r="428" ht="15.75" customHeight="1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</row>
    <row r="429" ht="15.75" customHeight="1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</row>
    <row r="430" ht="15.75" customHeight="1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</row>
    <row r="431" ht="15.75" customHeight="1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</row>
    <row r="432" ht="15.75" customHeight="1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</row>
    <row r="433" ht="15.75" customHeight="1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</row>
    <row r="434" ht="15.75" customHeight="1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</row>
    <row r="435" ht="15.75" customHeight="1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</row>
    <row r="436" ht="15.75" customHeight="1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</row>
    <row r="437" ht="15.75" customHeight="1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</row>
    <row r="438" ht="15.75" customHeight="1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</row>
    <row r="439" ht="15.75" customHeight="1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</row>
    <row r="440" ht="15.75" customHeight="1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</row>
    <row r="441" ht="15.75" customHeight="1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</row>
    <row r="442" ht="15.75" customHeight="1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</row>
    <row r="443" ht="15.75" customHeight="1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</row>
    <row r="444" ht="15.75" customHeight="1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</row>
    <row r="445" ht="15.75" customHeight="1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</row>
    <row r="446" ht="15.75" customHeight="1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</row>
    <row r="447" ht="15.75" customHeight="1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</row>
    <row r="448" ht="15.75" customHeight="1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</row>
    <row r="449" ht="15.75" customHeight="1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</row>
    <row r="450" ht="15.75" customHeight="1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</row>
    <row r="451" ht="15.75" customHeight="1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</row>
    <row r="452" ht="15.75" customHeight="1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</row>
    <row r="453" ht="15.75" customHeight="1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</row>
    <row r="454" ht="15.75" customHeight="1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</row>
    <row r="455" ht="15.75" customHeight="1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</row>
    <row r="456" ht="15.75" customHeight="1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</row>
    <row r="457" ht="15.75" customHeight="1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</row>
    <row r="458" ht="15.75" customHeight="1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</row>
    <row r="459" ht="15.75" customHeight="1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</row>
    <row r="460" ht="15.75" customHeight="1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</row>
    <row r="461" ht="15.75" customHeight="1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</row>
    <row r="462" ht="15.75" customHeight="1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</row>
    <row r="463" ht="15.75" customHeight="1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</row>
    <row r="464" ht="15.75" customHeight="1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</row>
    <row r="465" ht="15.75" customHeight="1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</row>
    <row r="466" ht="15.75" customHeight="1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</row>
    <row r="467" ht="15.75" customHeight="1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</row>
    <row r="468" ht="15.75" customHeight="1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</row>
    <row r="469" ht="15.75" customHeight="1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</row>
    <row r="470" ht="15.75" customHeight="1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</row>
    <row r="471" ht="15.75" customHeight="1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</row>
    <row r="472" ht="15.75" customHeight="1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</row>
    <row r="473" ht="15.75" customHeight="1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</row>
    <row r="474" ht="15.75" customHeight="1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</row>
    <row r="475" ht="15.75" customHeight="1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</row>
    <row r="476" ht="15.75" customHeight="1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</row>
    <row r="477" ht="15.75" customHeight="1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</row>
    <row r="478" ht="15.75" customHeight="1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</row>
    <row r="479" ht="15.75" customHeight="1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</row>
    <row r="480" ht="15.75" customHeight="1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</row>
    <row r="481" ht="15.75" customHeight="1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</row>
    <row r="482" ht="15.75" customHeight="1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</row>
    <row r="483" ht="15.75" customHeight="1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</row>
    <row r="484" ht="15.75" customHeight="1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</row>
    <row r="485" ht="15.75" customHeight="1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</row>
    <row r="486" ht="15.75" customHeight="1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</row>
    <row r="487" ht="15.75" customHeight="1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</row>
    <row r="488" ht="15.75" customHeight="1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</row>
    <row r="489" ht="15.75" customHeight="1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</row>
    <row r="490" ht="15.75" customHeight="1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</row>
    <row r="491" ht="15.75" customHeight="1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</row>
    <row r="492" ht="15.75" customHeight="1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</row>
    <row r="493" ht="15.75" customHeight="1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</row>
    <row r="494" ht="15.75" customHeight="1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</row>
    <row r="495" ht="15.75" customHeight="1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</row>
    <row r="496" ht="15.75" customHeight="1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</row>
    <row r="497" ht="15.75" customHeight="1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</row>
    <row r="498" ht="15.75" customHeight="1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</row>
    <row r="499" ht="15.75" customHeight="1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</row>
    <row r="500" ht="15.75" customHeight="1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</row>
    <row r="501" ht="15.75" customHeight="1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</row>
    <row r="502" ht="15.75" customHeight="1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</row>
    <row r="503" ht="15.75" customHeight="1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</row>
    <row r="504" ht="15.75" customHeight="1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</row>
    <row r="505" ht="15.75" customHeight="1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</row>
    <row r="506" ht="15.75" customHeight="1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</row>
    <row r="507" ht="15.75" customHeight="1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</row>
    <row r="508" ht="15.75" customHeight="1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</row>
    <row r="509" ht="15.75" customHeight="1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</row>
    <row r="510" ht="15.75" customHeight="1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</row>
    <row r="511" ht="15.75" customHeight="1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</row>
    <row r="512" ht="15.75" customHeight="1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</row>
    <row r="513" ht="15.75" customHeight="1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</row>
    <row r="514" ht="15.75" customHeight="1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</row>
    <row r="515" ht="15.75" customHeight="1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</row>
    <row r="516" ht="15.75" customHeight="1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</row>
    <row r="517" ht="15.75" customHeight="1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</row>
    <row r="518" ht="15.75" customHeight="1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</row>
    <row r="519" ht="15.75" customHeight="1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</row>
    <row r="520" ht="15.75" customHeight="1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</row>
    <row r="521" ht="15.75" customHeight="1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</row>
    <row r="522" ht="15.75" customHeight="1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</row>
    <row r="523" ht="15.75" customHeight="1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</row>
    <row r="524" ht="15.75" customHeight="1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</row>
    <row r="525" ht="15.75" customHeight="1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</row>
    <row r="526" ht="15.75" customHeight="1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</row>
    <row r="527" ht="15.75" customHeight="1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</row>
    <row r="528" ht="15.75" customHeight="1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</row>
    <row r="529" ht="15.75" customHeight="1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</row>
    <row r="530" ht="15.75" customHeight="1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</row>
    <row r="531" ht="15.75" customHeight="1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</row>
    <row r="532" ht="15.75" customHeight="1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</row>
    <row r="533" ht="15.75" customHeight="1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</row>
    <row r="534" ht="15.75" customHeight="1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</row>
    <row r="535" ht="15.75" customHeight="1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</row>
    <row r="536" ht="15.75" customHeight="1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</row>
    <row r="537" ht="15.75" customHeight="1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</row>
    <row r="538" ht="15.75" customHeight="1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</row>
    <row r="539" ht="15.75" customHeight="1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</row>
    <row r="540" ht="15.75" customHeight="1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</row>
    <row r="541" ht="15.75" customHeight="1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</row>
    <row r="542" ht="15.75" customHeight="1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</row>
    <row r="543" ht="15.75" customHeight="1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</row>
    <row r="544" ht="15.75" customHeight="1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</row>
    <row r="545" ht="15.75" customHeight="1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</row>
    <row r="546" ht="15.75" customHeight="1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</row>
    <row r="547" ht="15.75" customHeight="1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</row>
    <row r="548" ht="15.75" customHeight="1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</row>
    <row r="549" ht="15.75" customHeight="1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</row>
    <row r="550" ht="15.75" customHeight="1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</row>
    <row r="551" ht="15.75" customHeight="1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</row>
    <row r="552" ht="15.75" customHeight="1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</row>
    <row r="553" ht="15.75" customHeight="1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</row>
    <row r="554" ht="15.75" customHeight="1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</row>
    <row r="555" ht="15.75" customHeight="1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</row>
    <row r="556" ht="15.75" customHeight="1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</row>
    <row r="557" ht="15.75" customHeight="1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</row>
    <row r="558" ht="15.75" customHeight="1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</row>
    <row r="559" ht="15.75" customHeight="1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</row>
    <row r="560" ht="15.75" customHeight="1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</row>
    <row r="561" ht="15.75" customHeight="1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</row>
    <row r="562" ht="15.75" customHeight="1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</row>
    <row r="563" ht="15.75" customHeight="1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</row>
    <row r="564" ht="15.75" customHeight="1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</row>
    <row r="565" ht="15.75" customHeight="1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</row>
    <row r="566" ht="15.75" customHeight="1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</row>
    <row r="567" ht="15.75" customHeight="1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</row>
    <row r="568" ht="15.75" customHeight="1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</row>
    <row r="569" ht="15.75" customHeight="1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</row>
    <row r="570" ht="15.75" customHeight="1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</row>
    <row r="571" ht="15.75" customHeight="1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</row>
    <row r="572" ht="15.75" customHeight="1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</row>
    <row r="573" ht="15.75" customHeight="1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</row>
    <row r="574" ht="15.75" customHeight="1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</row>
    <row r="575" ht="15.75" customHeight="1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</row>
    <row r="576" ht="15.75" customHeight="1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</row>
    <row r="577" ht="15.75" customHeight="1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</row>
    <row r="578" ht="15.75" customHeight="1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</row>
    <row r="579" ht="15.75" customHeight="1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</row>
    <row r="580" ht="15.75" customHeight="1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</row>
    <row r="581" ht="15.75" customHeight="1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</row>
    <row r="582" ht="15.75" customHeight="1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</row>
    <row r="583" ht="15.75" customHeight="1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</row>
    <row r="584" ht="15.75" customHeight="1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</row>
    <row r="585" ht="15.75" customHeight="1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</row>
    <row r="586" ht="15.75" customHeight="1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</row>
    <row r="587" ht="15.75" customHeight="1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</row>
    <row r="588" ht="15.75" customHeight="1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</row>
    <row r="589" ht="15.75" customHeight="1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</row>
    <row r="590" ht="15.75" customHeight="1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</row>
    <row r="591" ht="15.75" customHeight="1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</row>
    <row r="592" ht="15.75" customHeight="1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</row>
    <row r="593" ht="15.75" customHeight="1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</row>
    <row r="594" ht="15.75" customHeight="1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</row>
    <row r="595" ht="15.75" customHeight="1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</row>
    <row r="596" ht="15.75" customHeight="1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</row>
    <row r="597" ht="15.75" customHeight="1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</row>
    <row r="598" ht="15.75" customHeight="1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</row>
    <row r="599" ht="15.75" customHeight="1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</row>
    <row r="600" ht="15.75" customHeight="1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</row>
    <row r="601" ht="15.75" customHeight="1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</row>
    <row r="602" ht="15.75" customHeight="1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</row>
    <row r="603" ht="15.75" customHeight="1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</row>
    <row r="604" ht="15.75" customHeight="1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</row>
    <row r="605" ht="15.75" customHeight="1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</row>
    <row r="606" ht="15.75" customHeight="1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</row>
    <row r="607" ht="15.75" customHeight="1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</row>
    <row r="608" ht="15.75" customHeight="1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</row>
    <row r="609" ht="15.75" customHeight="1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</row>
    <row r="610" ht="15.75" customHeight="1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</row>
    <row r="611" ht="15.75" customHeight="1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</row>
    <row r="612" ht="15.75" customHeight="1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</row>
    <row r="613" ht="15.75" customHeight="1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</row>
    <row r="614" ht="15.75" customHeight="1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</row>
    <row r="615" ht="15.75" customHeight="1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</row>
    <row r="616" ht="15.75" customHeight="1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</row>
    <row r="617" ht="15.75" customHeight="1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</row>
    <row r="618" ht="15.75" customHeight="1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</row>
    <row r="619" ht="15.75" customHeight="1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</row>
    <row r="620" ht="15.75" customHeight="1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</row>
    <row r="621" ht="15.75" customHeight="1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</row>
    <row r="622" ht="15.75" customHeight="1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</row>
    <row r="623" ht="15.75" customHeight="1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</row>
    <row r="624" ht="15.75" customHeight="1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</row>
    <row r="625" ht="15.75" customHeight="1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</row>
    <row r="626" ht="15.75" customHeight="1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</row>
    <row r="627" ht="15.75" customHeight="1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</row>
    <row r="628" ht="15.75" customHeight="1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</row>
    <row r="629" ht="15.75" customHeight="1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</row>
    <row r="630" ht="15.75" customHeight="1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</row>
    <row r="631" ht="15.75" customHeight="1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</row>
    <row r="632" ht="15.75" customHeight="1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</row>
    <row r="633" ht="15.75" customHeight="1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</row>
    <row r="634" ht="15.75" customHeight="1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</row>
    <row r="635" ht="15.75" customHeight="1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</row>
    <row r="636" ht="15.75" customHeight="1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</row>
    <row r="637" ht="15.75" customHeight="1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</row>
    <row r="638" ht="15.75" customHeight="1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</row>
    <row r="639" ht="15.75" customHeight="1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</row>
    <row r="640" ht="15.75" customHeight="1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</row>
    <row r="641" ht="15.75" customHeight="1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</row>
    <row r="642" ht="15.75" customHeight="1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</row>
    <row r="643" ht="15.75" customHeight="1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</row>
    <row r="644" ht="15.75" customHeight="1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</row>
    <row r="645" ht="15.75" customHeight="1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</row>
    <row r="646" ht="15.75" customHeight="1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</row>
    <row r="647" ht="15.75" customHeight="1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</row>
    <row r="648" ht="15.75" customHeight="1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</row>
    <row r="649" ht="15.75" customHeight="1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</row>
    <row r="650" ht="15.75" customHeight="1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</row>
    <row r="651" ht="15.75" customHeight="1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</row>
    <row r="652" ht="15.75" customHeight="1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</row>
    <row r="653" ht="15.75" customHeight="1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</row>
    <row r="654" ht="15.75" customHeight="1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</row>
    <row r="655" ht="15.75" customHeight="1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</row>
    <row r="656" ht="15.75" customHeight="1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</row>
    <row r="657" ht="15.75" customHeight="1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</row>
    <row r="658" ht="15.75" customHeight="1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</row>
    <row r="659" ht="15.75" customHeight="1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</row>
    <row r="660" ht="15.75" customHeight="1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</row>
    <row r="661" ht="15.75" customHeight="1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</row>
    <row r="662" ht="15.75" customHeight="1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</row>
    <row r="663" ht="15.75" customHeight="1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</row>
    <row r="664" ht="15.75" customHeight="1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</row>
    <row r="665" ht="15.75" customHeight="1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</row>
    <row r="666" ht="15.75" customHeight="1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</row>
    <row r="667" ht="15.75" customHeight="1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</row>
    <row r="668" ht="15.75" customHeight="1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</row>
    <row r="669" ht="15.75" customHeight="1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</row>
    <row r="670" ht="15.75" customHeight="1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</row>
    <row r="671" ht="15.75" customHeight="1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</row>
    <row r="672" ht="15.75" customHeight="1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</row>
    <row r="673" ht="15.75" customHeight="1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</row>
    <row r="674" ht="15.75" customHeight="1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</row>
    <row r="675" ht="15.75" customHeight="1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</row>
    <row r="676" ht="15.75" customHeight="1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</row>
    <row r="677" ht="15.75" customHeight="1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</row>
    <row r="678" ht="15.75" customHeight="1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</row>
    <row r="679" ht="15.75" customHeight="1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</row>
    <row r="680" ht="15.75" customHeight="1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</row>
    <row r="681" ht="15.75" customHeight="1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</row>
    <row r="682" ht="15.75" customHeight="1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</row>
    <row r="683" ht="15.75" customHeight="1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</row>
    <row r="684" ht="15.75" customHeight="1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</row>
    <row r="685" ht="15.75" customHeight="1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</row>
    <row r="686" ht="15.75" customHeight="1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</row>
    <row r="687" ht="15.75" customHeight="1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</row>
    <row r="688" ht="15.75" customHeight="1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</row>
    <row r="689" ht="15.75" customHeight="1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</row>
    <row r="690" ht="15.75" customHeight="1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</row>
    <row r="691" ht="15.75" customHeight="1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</row>
    <row r="692" ht="15.75" customHeight="1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</row>
    <row r="693" ht="15.75" customHeight="1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</row>
    <row r="694" ht="15.75" customHeight="1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</row>
    <row r="695" ht="15.75" customHeight="1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</row>
    <row r="696" ht="15.75" customHeight="1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</row>
    <row r="697" ht="15.75" customHeight="1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</row>
    <row r="698" ht="15.75" customHeight="1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</row>
    <row r="699" ht="15.75" customHeight="1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</row>
    <row r="700" ht="15.75" customHeight="1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</row>
    <row r="701" ht="15.75" customHeight="1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</row>
    <row r="702" ht="15.75" customHeight="1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</row>
    <row r="703" ht="15.75" customHeight="1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</row>
    <row r="704" ht="15.75" customHeight="1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</row>
    <row r="705" ht="15.75" customHeight="1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</row>
    <row r="706" ht="15.75" customHeight="1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</row>
    <row r="707" ht="15.75" customHeight="1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</row>
    <row r="708" ht="15.75" customHeight="1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</row>
    <row r="709" ht="15.75" customHeight="1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</row>
    <row r="710" ht="15.75" customHeight="1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</row>
    <row r="711" ht="15.75" customHeight="1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</row>
    <row r="712" ht="15.75" customHeight="1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</row>
    <row r="713" ht="15.75" customHeight="1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</row>
    <row r="714" ht="15.75" customHeight="1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</row>
    <row r="715" ht="15.75" customHeight="1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</row>
    <row r="716" ht="15.75" customHeight="1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</row>
    <row r="717" ht="15.75" customHeight="1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</row>
    <row r="718" ht="15.75" customHeight="1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</row>
    <row r="719" ht="15.75" customHeight="1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</row>
    <row r="720" ht="15.75" customHeight="1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</row>
    <row r="721" ht="15.75" customHeight="1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</row>
    <row r="722" ht="15.75" customHeight="1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</row>
    <row r="723" ht="15.75" customHeight="1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</row>
    <row r="724" ht="15.75" customHeight="1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</row>
    <row r="725" ht="15.75" customHeight="1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</row>
    <row r="726" ht="15.75" customHeight="1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</row>
    <row r="727" ht="15.75" customHeight="1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</row>
    <row r="728" ht="15.75" customHeight="1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</row>
    <row r="729" ht="15.75" customHeight="1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</row>
    <row r="730" ht="15.75" customHeight="1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</row>
    <row r="731" ht="15.75" customHeight="1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</row>
    <row r="732" ht="15.75" customHeight="1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</row>
    <row r="733" ht="15.75" customHeight="1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</row>
    <row r="734" ht="15.75" customHeight="1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</row>
    <row r="735" ht="15.75" customHeight="1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</row>
    <row r="736" ht="15.75" customHeight="1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</row>
    <row r="737" ht="15.75" customHeight="1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</row>
    <row r="738" ht="15.75" customHeight="1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</row>
    <row r="739" ht="15.75" customHeight="1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</row>
    <row r="740" ht="15.75" customHeight="1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</row>
    <row r="741" ht="15.75" customHeight="1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</row>
    <row r="742" ht="15.75" customHeight="1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</row>
    <row r="743" ht="15.75" customHeight="1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</row>
    <row r="744" ht="15.75" customHeight="1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</row>
    <row r="745" ht="15.75" customHeight="1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</row>
    <row r="746" ht="15.75" customHeight="1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</row>
    <row r="747" ht="15.75" customHeight="1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</row>
    <row r="748" ht="15.75" customHeight="1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</row>
    <row r="749" ht="15.75" customHeight="1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</row>
    <row r="750" ht="15.75" customHeight="1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</row>
    <row r="751" ht="15.75" customHeight="1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</row>
    <row r="752" ht="15.75" customHeight="1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</row>
    <row r="753" ht="15.75" customHeight="1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</row>
    <row r="754" ht="15.75" customHeight="1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</row>
    <row r="755" ht="15.75" customHeight="1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</row>
    <row r="756" ht="15.75" customHeight="1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</row>
    <row r="757" ht="15.75" customHeight="1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</row>
    <row r="758" ht="15.75" customHeight="1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</row>
    <row r="759" ht="15.75" customHeight="1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</row>
    <row r="760" ht="15.75" customHeight="1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</row>
    <row r="761" ht="15.75" customHeight="1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</row>
    <row r="762" ht="15.75" customHeight="1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</row>
    <row r="763" ht="15.75" customHeight="1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</row>
    <row r="764" ht="15.75" customHeight="1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</row>
    <row r="765" ht="15.75" customHeight="1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</row>
    <row r="766" ht="15.75" customHeight="1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</row>
    <row r="767" ht="15.75" customHeight="1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</row>
    <row r="768" ht="15.75" customHeight="1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</row>
    <row r="769" ht="15.75" customHeight="1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</row>
    <row r="770" ht="15.75" customHeight="1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</row>
    <row r="771" ht="15.75" customHeight="1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</row>
    <row r="772" ht="15.75" customHeight="1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</row>
    <row r="773" ht="15.75" customHeight="1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</row>
    <row r="774" ht="15.75" customHeight="1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</row>
    <row r="775" ht="15.75" customHeight="1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</row>
    <row r="776" ht="15.75" customHeight="1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</row>
    <row r="777" ht="15.75" customHeight="1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</row>
    <row r="778" ht="15.75" customHeight="1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</row>
    <row r="779" ht="15.75" customHeight="1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</row>
    <row r="780" ht="15.75" customHeight="1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</row>
    <row r="781" ht="15.75" customHeight="1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</row>
    <row r="782" ht="15.75" customHeight="1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</row>
    <row r="783" ht="15.75" customHeight="1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</row>
    <row r="784" ht="15.75" customHeight="1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</row>
    <row r="785" ht="15.75" customHeight="1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</row>
    <row r="786" ht="15.75" customHeight="1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</row>
    <row r="787" ht="15.75" customHeight="1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</row>
    <row r="788" ht="15.75" customHeight="1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</row>
    <row r="789" ht="15.75" customHeight="1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</row>
    <row r="790" ht="15.75" customHeight="1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</row>
    <row r="791" ht="15.75" customHeight="1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</row>
    <row r="792" ht="15.75" customHeight="1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</row>
    <row r="793" ht="15.75" customHeight="1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</row>
    <row r="794" ht="15.75" customHeight="1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</row>
    <row r="795" ht="15.75" customHeight="1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</row>
    <row r="796" ht="15.75" customHeight="1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</row>
    <row r="797" ht="15.75" customHeight="1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</row>
    <row r="798" ht="15.75" customHeight="1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</row>
    <row r="799" ht="15.75" customHeight="1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</row>
    <row r="800" ht="15.75" customHeight="1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</row>
    <row r="801" ht="15.75" customHeight="1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</row>
    <row r="802" ht="15.75" customHeight="1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</row>
    <row r="803" ht="15.75" customHeight="1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</row>
    <row r="804" ht="15.75" customHeight="1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</row>
    <row r="805" ht="15.75" customHeight="1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</row>
    <row r="806" ht="15.75" customHeight="1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</row>
    <row r="807" ht="15.75" customHeight="1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</row>
    <row r="808" ht="15.75" customHeight="1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</row>
    <row r="809" ht="15.75" customHeight="1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</row>
    <row r="810" ht="15.75" customHeight="1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</row>
    <row r="811" ht="15.75" customHeight="1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</row>
    <row r="812" ht="15.75" customHeight="1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</row>
    <row r="813" ht="15.75" customHeight="1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</row>
    <row r="814" ht="15.75" customHeight="1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</row>
    <row r="815" ht="15.75" customHeight="1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</row>
    <row r="816" ht="15.75" customHeight="1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</row>
    <row r="817" ht="15.75" customHeight="1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</row>
    <row r="818" ht="15.75" customHeight="1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</row>
    <row r="819" ht="15.75" customHeight="1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</row>
    <row r="820" ht="15.75" customHeight="1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</row>
    <row r="821" ht="15.75" customHeight="1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</row>
    <row r="822" ht="15.75" customHeight="1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</row>
    <row r="823" ht="15.75" customHeight="1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</row>
    <row r="824" ht="15.75" customHeight="1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</row>
    <row r="825" ht="15.75" customHeight="1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</row>
    <row r="826" ht="15.75" customHeight="1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</row>
    <row r="827" ht="15.75" customHeight="1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</row>
    <row r="828" ht="15.75" customHeight="1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</row>
    <row r="829" ht="15.75" customHeight="1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</row>
    <row r="830" ht="15.75" customHeight="1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</row>
    <row r="831" ht="15.75" customHeight="1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</row>
    <row r="832" ht="15.75" customHeight="1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</row>
    <row r="833" ht="15.75" customHeight="1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</row>
    <row r="834" ht="15.75" customHeight="1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</row>
    <row r="835" ht="15.75" customHeight="1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</row>
    <row r="836" ht="15.75" customHeight="1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</row>
    <row r="837" ht="15.75" customHeight="1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</row>
    <row r="838" ht="15.75" customHeight="1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</row>
    <row r="839" ht="15.75" customHeight="1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</row>
    <row r="840" ht="15.75" customHeight="1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</row>
    <row r="841" ht="15.75" customHeight="1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</row>
    <row r="842" ht="15.75" customHeight="1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</row>
    <row r="843" ht="15.75" customHeight="1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</row>
    <row r="844" ht="15.75" customHeight="1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</row>
    <row r="845" ht="15.75" customHeight="1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</row>
    <row r="846" ht="15.75" customHeight="1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</row>
    <row r="847" ht="15.75" customHeight="1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</row>
    <row r="848" ht="15.75" customHeight="1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</row>
    <row r="849" ht="15.75" customHeight="1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</row>
    <row r="850" ht="15.75" customHeight="1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</row>
    <row r="851" ht="15.75" customHeight="1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</row>
    <row r="852" ht="15.75" customHeight="1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</row>
    <row r="853" ht="15.75" customHeight="1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</row>
    <row r="854" ht="15.75" customHeight="1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</row>
    <row r="855" ht="15.75" customHeight="1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</row>
    <row r="856" ht="15.75" customHeight="1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</row>
    <row r="857" ht="15.75" customHeight="1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</row>
    <row r="858" ht="15.75" customHeight="1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</row>
    <row r="859" ht="15.75" customHeight="1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</row>
    <row r="860" ht="15.75" customHeight="1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</row>
    <row r="861" ht="15.75" customHeight="1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</row>
    <row r="862" ht="15.75" customHeight="1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</row>
    <row r="863" ht="15.75" customHeight="1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</row>
    <row r="864" ht="15.75" customHeight="1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</row>
    <row r="865" ht="15.75" customHeight="1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</row>
    <row r="866" ht="15.75" customHeight="1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</row>
    <row r="867" ht="15.75" customHeight="1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</row>
    <row r="868" ht="15.75" customHeight="1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</row>
    <row r="869" ht="15.75" customHeight="1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</row>
    <row r="870" ht="15.75" customHeight="1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</row>
    <row r="871" ht="15.75" customHeight="1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</row>
    <row r="872" ht="15.75" customHeight="1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</row>
    <row r="873" ht="15.75" customHeight="1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</row>
    <row r="874" ht="15.75" customHeight="1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</row>
    <row r="875" ht="15.75" customHeight="1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</row>
    <row r="876" ht="15.75" customHeight="1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</row>
    <row r="877" ht="15.75" customHeight="1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</row>
    <row r="878" ht="15.75" customHeight="1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</row>
    <row r="879" ht="15.75" customHeight="1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</row>
    <row r="880" ht="15.75" customHeight="1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</row>
    <row r="881" ht="15.75" customHeight="1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</row>
    <row r="882" ht="15.75" customHeight="1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</row>
    <row r="883" ht="15.75" customHeight="1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</row>
    <row r="884" ht="15.75" customHeight="1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</row>
    <row r="885" ht="15.75" customHeight="1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</row>
    <row r="886" ht="15.75" customHeight="1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</row>
    <row r="887" ht="15.75" customHeight="1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</row>
    <row r="888" ht="15.75" customHeight="1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</row>
    <row r="889" ht="15.75" customHeight="1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</row>
    <row r="890" ht="15.75" customHeight="1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</row>
    <row r="891" ht="15.75" customHeight="1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</row>
    <row r="892" ht="15.75" customHeight="1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</row>
    <row r="893" ht="15.75" customHeight="1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</row>
    <row r="894" ht="15.75" customHeight="1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</row>
    <row r="895" ht="15.75" customHeight="1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</row>
    <row r="896" ht="15.75" customHeight="1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</row>
    <row r="897" ht="15.75" customHeight="1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</row>
    <row r="898" ht="15.75" customHeight="1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</row>
    <row r="899" ht="15.75" customHeight="1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</row>
    <row r="900" ht="15.75" customHeight="1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</row>
    <row r="901" ht="15.75" customHeight="1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</row>
    <row r="902" ht="15.75" customHeight="1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</row>
    <row r="903" ht="15.75" customHeight="1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</row>
    <row r="904" ht="15.75" customHeight="1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</row>
    <row r="905" ht="15.75" customHeight="1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</row>
    <row r="906" ht="15.75" customHeight="1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</row>
    <row r="907" ht="15.75" customHeight="1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</row>
    <row r="908" ht="15.75" customHeight="1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</row>
    <row r="909" ht="15.75" customHeight="1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</row>
    <row r="910" ht="15.75" customHeight="1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</row>
    <row r="911" ht="15.75" customHeight="1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</row>
    <row r="912" ht="15.75" customHeight="1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</row>
    <row r="913" ht="15.75" customHeight="1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</row>
    <row r="914" ht="15.75" customHeight="1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</row>
    <row r="915" ht="15.75" customHeight="1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</row>
    <row r="916" ht="15.75" customHeight="1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</row>
    <row r="917" ht="15.75" customHeight="1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</row>
    <row r="918" ht="15.75" customHeight="1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</row>
    <row r="919" ht="15.75" customHeight="1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</row>
    <row r="920" ht="15.75" customHeight="1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</row>
    <row r="921" ht="15.75" customHeight="1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</row>
    <row r="922" ht="15.75" customHeight="1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</row>
    <row r="923" ht="15.75" customHeight="1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</row>
    <row r="924" ht="15.75" customHeight="1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</row>
    <row r="925" ht="15.75" customHeight="1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</row>
    <row r="926" ht="15.75" customHeight="1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</row>
    <row r="927" ht="15.75" customHeight="1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</row>
    <row r="928" ht="15.75" customHeight="1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</row>
    <row r="929" ht="15.75" customHeight="1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</row>
    <row r="930" ht="15.75" customHeight="1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</row>
    <row r="931" ht="15.75" customHeight="1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</row>
    <row r="932" ht="15.75" customHeight="1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</row>
    <row r="933" ht="15.75" customHeight="1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</row>
    <row r="934" ht="15.75" customHeight="1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</row>
    <row r="935" ht="15.75" customHeight="1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</row>
    <row r="936" ht="15.75" customHeight="1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</row>
    <row r="937" ht="15.75" customHeight="1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</row>
    <row r="938" ht="15.75" customHeight="1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</row>
    <row r="939" ht="15.75" customHeight="1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</row>
    <row r="940" ht="15.75" customHeight="1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</row>
    <row r="941" ht="15.75" customHeight="1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</row>
    <row r="942" ht="15.75" customHeight="1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</row>
    <row r="943" ht="15.75" customHeight="1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</row>
    <row r="944" ht="15.75" customHeight="1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</row>
    <row r="945" ht="15.75" customHeight="1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</row>
    <row r="946" ht="15.75" customHeight="1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</row>
    <row r="947" ht="15.75" customHeight="1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</row>
    <row r="948" ht="15.75" customHeight="1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</row>
    <row r="949" ht="15.75" customHeight="1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</row>
    <row r="950" ht="15.75" customHeight="1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</row>
    <row r="951" ht="15.75" customHeight="1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</row>
    <row r="952" ht="15.75" customHeight="1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</row>
    <row r="953" ht="15.75" customHeight="1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</row>
    <row r="954" ht="15.75" customHeight="1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</row>
    <row r="955" ht="15.75" customHeight="1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</row>
    <row r="956" ht="15.75" customHeight="1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</row>
    <row r="957" ht="15.75" customHeight="1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</row>
    <row r="958" ht="15.75" customHeight="1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</row>
    <row r="959" ht="15.75" customHeight="1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</row>
    <row r="960" ht="15.75" customHeight="1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</row>
    <row r="961" ht="15.75" customHeight="1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</row>
    <row r="962" ht="15.75" customHeight="1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</row>
    <row r="963" ht="15.75" customHeight="1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</row>
    <row r="964" ht="15.75" customHeight="1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</row>
    <row r="965" ht="15.75" customHeight="1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</row>
    <row r="966" ht="15.75" customHeight="1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</row>
    <row r="967" ht="15.75" customHeight="1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</row>
    <row r="968" ht="15.75" customHeight="1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</row>
    <row r="969" ht="15.75" customHeight="1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</row>
    <row r="970" ht="15.75" customHeight="1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</row>
    <row r="971" ht="15.75" customHeight="1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</row>
    <row r="972" ht="15.75" customHeight="1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</row>
    <row r="973" ht="15.75" customHeight="1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</row>
    <row r="974" ht="15.75" customHeight="1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</row>
    <row r="975" ht="15.75" customHeight="1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</row>
    <row r="976" ht="15.75" customHeight="1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</row>
    <row r="977" ht="15.75" customHeight="1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</row>
    <row r="978" ht="15.75" customHeight="1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</row>
    <row r="979" ht="15.75" customHeight="1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</row>
    <row r="980" ht="15.75" customHeight="1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</row>
    <row r="981" ht="15.75" customHeight="1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</row>
    <row r="982" ht="15.75" customHeight="1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</row>
    <row r="983" ht="15.75" customHeight="1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</row>
    <row r="984" ht="15.75" customHeight="1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</row>
    <row r="985" ht="15.75" customHeight="1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</row>
    <row r="986" ht="15.75" customHeight="1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</row>
    <row r="987" ht="15.75" customHeight="1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</row>
    <row r="988" ht="15.75" customHeight="1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</row>
    <row r="989" ht="15.75" customHeight="1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</row>
    <row r="990" ht="15.75" customHeight="1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</row>
    <row r="991" ht="15.75" customHeight="1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</row>
    <row r="992" ht="15.75" customHeight="1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</row>
    <row r="993" ht="15.75" customHeight="1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</row>
    <row r="994" ht="15.75" customHeight="1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</row>
    <row r="995" ht="15.75" customHeight="1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</row>
    <row r="996" ht="15.75" customHeight="1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</row>
    <row r="997" ht="15.75" customHeight="1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</row>
    <row r="998" ht="15.75" customHeight="1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</row>
    <row r="999" ht="15.75" customHeight="1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</row>
    <row r="1000" ht="15.75" customHeight="1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71"/>
    <col customWidth="1" min="3" max="3" width="14.86"/>
    <col customWidth="1" min="4" max="19" width="8.57"/>
  </cols>
  <sheetData>
    <row r="1">
      <c r="A1" s="57" t="s">
        <v>8</v>
      </c>
      <c r="B1" s="58" t="s">
        <v>9</v>
      </c>
      <c r="C1" s="65">
        <v>2010.0</v>
      </c>
      <c r="D1" s="60">
        <v>2011.0</v>
      </c>
      <c r="E1" s="60">
        <v>2012.0</v>
      </c>
      <c r="F1" s="60">
        <v>2013.0</v>
      </c>
      <c r="G1" s="60">
        <v>2014.0</v>
      </c>
      <c r="H1" s="60">
        <v>2015.0</v>
      </c>
      <c r="I1" s="60">
        <v>2016.0</v>
      </c>
      <c r="J1" s="60">
        <v>2017.0</v>
      </c>
      <c r="K1" s="60">
        <v>2018.0</v>
      </c>
      <c r="L1" s="60">
        <v>2019.0</v>
      </c>
      <c r="M1" s="60">
        <v>2020.0</v>
      </c>
      <c r="N1" s="66">
        <v>2021.0</v>
      </c>
      <c r="O1" s="67">
        <v>2022.0</v>
      </c>
      <c r="P1" s="68">
        <v>2023.0</v>
      </c>
      <c r="Q1" s="59">
        <v>2024.0</v>
      </c>
      <c r="R1" s="59">
        <v>2025.0</v>
      </c>
      <c r="S1" s="59">
        <v>2026.0</v>
      </c>
    </row>
    <row r="2">
      <c r="A2" s="24">
        <v>2.611606019E9</v>
      </c>
      <c r="B2" s="24" t="s">
        <v>39</v>
      </c>
      <c r="C2" s="24">
        <v>4996.0</v>
      </c>
      <c r="D2" s="69">
        <f t="shared" ref="D2:D95" si="1">(C2/$C$97)*$D$97</f>
        <v>5058.162589</v>
      </c>
      <c r="E2" s="69">
        <f t="shared" ref="E2:E95" si="2">(C2/$C$97)*$E$97</f>
        <v>5086.038614</v>
      </c>
      <c r="F2" s="69">
        <f t="shared" ref="F2:F95" si="3">(C2/$C$97)*$F$97</f>
        <v>5231.498941</v>
      </c>
      <c r="G2" s="69">
        <f t="shared" ref="G2:G95" si="4">(C2/$C$97)*$G$97</f>
        <v>5260.853316</v>
      </c>
      <c r="H2" s="69">
        <f t="shared" ref="H2:H95" si="5">(C2/$C$97)*$H$97</f>
        <v>5289.291899</v>
      </c>
      <c r="I2" s="69">
        <f t="shared" ref="I2:I95" si="6">(C2/$C$97)*$I$97</f>
        <v>5316.76563</v>
      </c>
      <c r="J2" s="69">
        <f t="shared" ref="J2:J95" si="7">(C2/$C$97)*$J$97</f>
        <v>5343.303947</v>
      </c>
      <c r="K2" s="69">
        <f t="shared" ref="K2:K95" si="8">(C2/$C$97)*$K$97</f>
        <v>5356.83476</v>
      </c>
      <c r="L2" s="69">
        <f t="shared" ref="L2:L95" si="9">(C2/$C$97)*$L$97</f>
        <v>5382.650256</v>
      </c>
      <c r="M2" s="69">
        <f t="shared" ref="M2:M95" si="10">(C2/$C$97)*$M$97</f>
        <v>5407.945713</v>
      </c>
      <c r="N2" s="69">
        <f t="shared" ref="N2:N95" si="11">(C2/$C$97)*$N$97</f>
        <v>5432.658989</v>
      </c>
      <c r="O2" s="24">
        <v>2915.0</v>
      </c>
      <c r="P2" s="6">
        <f t="shared" ref="P2:P95" si="12">(O2/$O$97)*$P$97</f>
        <v>2915</v>
      </c>
      <c r="Q2" s="69">
        <f t="shared" ref="Q2:Q95" si="13">(P2/$O$97)*$Q$97</f>
        <v>3108.404686</v>
      </c>
      <c r="R2" s="69">
        <f t="shared" ref="R2:R95" si="14">(O2/$O$97)*$R$97</f>
        <v>3109.714451</v>
      </c>
      <c r="S2" s="69">
        <f t="shared" ref="S2:S96" si="15">(O2/$O$97)*$S$97</f>
        <v>3111.024216</v>
      </c>
    </row>
    <row r="3">
      <c r="A3" s="24">
        <v>2.611606043E9</v>
      </c>
      <c r="B3" s="24" t="s">
        <v>40</v>
      </c>
      <c r="C3" s="24">
        <v>3332.0</v>
      </c>
      <c r="D3" s="69">
        <f t="shared" si="1"/>
        <v>3373.458316</v>
      </c>
      <c r="E3" s="69">
        <f t="shared" si="2"/>
        <v>3392.049773</v>
      </c>
      <c r="F3" s="69">
        <f t="shared" si="3"/>
        <v>3489.062144</v>
      </c>
      <c r="G3" s="69">
        <f t="shared" si="4"/>
        <v>3508.639561</v>
      </c>
      <c r="H3" s="69">
        <f t="shared" si="5"/>
        <v>3527.606206</v>
      </c>
      <c r="I3" s="69">
        <f t="shared" si="6"/>
        <v>3545.92936</v>
      </c>
      <c r="J3" s="69">
        <f t="shared" si="7"/>
        <v>3563.628653</v>
      </c>
      <c r="K3" s="69">
        <f t="shared" si="8"/>
        <v>3572.652806</v>
      </c>
      <c r="L3" s="69">
        <f t="shared" si="9"/>
        <v>3589.870026</v>
      </c>
      <c r="M3" s="69">
        <f t="shared" si="10"/>
        <v>3606.740415</v>
      </c>
      <c r="N3" s="69">
        <f t="shared" si="11"/>
        <v>3623.222528</v>
      </c>
      <c r="O3" s="24">
        <v>2523.0</v>
      </c>
      <c r="P3" s="6">
        <f t="shared" si="12"/>
        <v>2523</v>
      </c>
      <c r="Q3" s="69">
        <f t="shared" si="13"/>
        <v>2690.396234</v>
      </c>
      <c r="R3" s="69">
        <f t="shared" si="14"/>
        <v>2691.529866</v>
      </c>
      <c r="S3" s="69">
        <f t="shared" si="15"/>
        <v>2692.663498</v>
      </c>
    </row>
    <row r="4">
      <c r="A4" s="24">
        <v>2.611606033E9</v>
      </c>
      <c r="B4" s="24" t="s">
        <v>41</v>
      </c>
      <c r="C4" s="24">
        <v>6584.0</v>
      </c>
      <c r="D4" s="69">
        <f t="shared" si="1"/>
        <v>6665.921234</v>
      </c>
      <c r="E4" s="69">
        <f t="shared" si="2"/>
        <v>6702.657774</v>
      </c>
      <c r="F4" s="69">
        <f t="shared" si="3"/>
        <v>6894.353289</v>
      </c>
      <c r="G4" s="69">
        <f t="shared" si="4"/>
        <v>6933.038076</v>
      </c>
      <c r="H4" s="69">
        <f t="shared" si="5"/>
        <v>6970.515985</v>
      </c>
      <c r="I4" s="69">
        <f t="shared" si="6"/>
        <v>7006.72236</v>
      </c>
      <c r="J4" s="69">
        <f t="shared" si="7"/>
        <v>7041.695994</v>
      </c>
      <c r="K4" s="69">
        <f t="shared" si="8"/>
        <v>7059.527634</v>
      </c>
      <c r="L4" s="69">
        <f t="shared" si="9"/>
        <v>7093.548696</v>
      </c>
      <c r="M4" s="69">
        <f t="shared" si="10"/>
        <v>7126.884422</v>
      </c>
      <c r="N4" s="69">
        <f t="shared" si="11"/>
        <v>7159.452919</v>
      </c>
      <c r="O4" s="24">
        <v>5062.0</v>
      </c>
      <c r="P4" s="6">
        <f t="shared" si="12"/>
        <v>5062</v>
      </c>
      <c r="Q4" s="69">
        <f t="shared" si="13"/>
        <v>5397.854038</v>
      </c>
      <c r="R4" s="69">
        <f t="shared" si="14"/>
        <v>5400.12849</v>
      </c>
      <c r="S4" s="69">
        <f t="shared" si="15"/>
        <v>5402.402943</v>
      </c>
    </row>
    <row r="5">
      <c r="A5" s="24">
        <v>2.611606008E9</v>
      </c>
      <c r="B5" s="24" t="s">
        <v>42</v>
      </c>
      <c r="C5" s="24">
        <v>7625.0</v>
      </c>
      <c r="D5" s="69">
        <f t="shared" si="1"/>
        <v>7719.873847</v>
      </c>
      <c r="E5" s="69">
        <f t="shared" si="2"/>
        <v>7762.418822</v>
      </c>
      <c r="F5" s="69">
        <f t="shared" si="3"/>
        <v>7984.423424</v>
      </c>
      <c r="G5" s="69">
        <f t="shared" si="4"/>
        <v>8029.224686</v>
      </c>
      <c r="H5" s="69">
        <f t="shared" si="5"/>
        <v>8072.628248</v>
      </c>
      <c r="I5" s="69">
        <f t="shared" si="6"/>
        <v>8114.559234</v>
      </c>
      <c r="J5" s="69">
        <f t="shared" si="7"/>
        <v>8155.062569</v>
      </c>
      <c r="K5" s="69">
        <f t="shared" si="8"/>
        <v>8175.71358</v>
      </c>
      <c r="L5" s="69">
        <f t="shared" si="9"/>
        <v>8215.113731</v>
      </c>
      <c r="M5" s="69">
        <f t="shared" si="10"/>
        <v>8253.720188</v>
      </c>
      <c r="N5" s="69">
        <f t="shared" si="11"/>
        <v>8291.438108</v>
      </c>
      <c r="O5" s="24">
        <v>5923.0</v>
      </c>
      <c r="P5" s="6">
        <f t="shared" si="12"/>
        <v>5923</v>
      </c>
      <c r="Q5" s="69">
        <f t="shared" si="13"/>
        <v>6315.979744</v>
      </c>
      <c r="R5" s="69">
        <f t="shared" si="14"/>
        <v>6318.641061</v>
      </c>
      <c r="S5" s="69">
        <f t="shared" si="15"/>
        <v>6321.302377</v>
      </c>
    </row>
    <row r="6">
      <c r="A6" s="24">
        <v>2.611606061E9</v>
      </c>
      <c r="B6" s="24" t="s">
        <v>43</v>
      </c>
      <c r="C6" s="24">
        <v>6032.0</v>
      </c>
      <c r="D6" s="69">
        <f t="shared" si="1"/>
        <v>6107.05299</v>
      </c>
      <c r="E6" s="69">
        <f t="shared" si="2"/>
        <v>6140.709552</v>
      </c>
      <c r="F6" s="69">
        <f t="shared" si="3"/>
        <v>6316.33339</v>
      </c>
      <c r="G6" s="69">
        <f t="shared" si="4"/>
        <v>6351.77486</v>
      </c>
      <c r="H6" s="69">
        <f t="shared" si="5"/>
        <v>6386.110635</v>
      </c>
      <c r="I6" s="69">
        <f t="shared" si="6"/>
        <v>6419.281482</v>
      </c>
      <c r="J6" s="69">
        <f t="shared" si="7"/>
        <v>6451.32294</v>
      </c>
      <c r="K6" s="69">
        <f t="shared" si="8"/>
        <v>6467.659582</v>
      </c>
      <c r="L6" s="69">
        <f t="shared" si="9"/>
        <v>6498.828331</v>
      </c>
      <c r="M6" s="69">
        <f t="shared" si="10"/>
        <v>6529.369203</v>
      </c>
      <c r="N6" s="69">
        <f t="shared" si="11"/>
        <v>6559.20717</v>
      </c>
      <c r="O6" s="24">
        <v>4763.0</v>
      </c>
      <c r="P6" s="6">
        <f t="shared" si="12"/>
        <v>4763</v>
      </c>
      <c r="Q6" s="69">
        <f t="shared" si="13"/>
        <v>5079.015959</v>
      </c>
      <c r="R6" s="69">
        <f t="shared" si="14"/>
        <v>5081.156065</v>
      </c>
      <c r="S6" s="69">
        <f t="shared" si="15"/>
        <v>5083.296171</v>
      </c>
    </row>
    <row r="7">
      <c r="A7" s="24">
        <v>2.611606023E9</v>
      </c>
      <c r="B7" s="24" t="s">
        <v>44</v>
      </c>
      <c r="C7" s="24">
        <v>2626.0</v>
      </c>
      <c r="D7" s="69">
        <f t="shared" si="1"/>
        <v>2658.673931</v>
      </c>
      <c r="E7" s="69">
        <f t="shared" si="2"/>
        <v>2673.326141</v>
      </c>
      <c r="F7" s="69">
        <f t="shared" si="3"/>
        <v>2749.78307</v>
      </c>
      <c r="G7" s="69">
        <f t="shared" si="4"/>
        <v>2765.212331</v>
      </c>
      <c r="H7" s="69">
        <f t="shared" si="5"/>
        <v>2780.160233</v>
      </c>
      <c r="I7" s="69">
        <f t="shared" si="6"/>
        <v>2794.60099</v>
      </c>
      <c r="J7" s="69">
        <f t="shared" si="7"/>
        <v>2808.550073</v>
      </c>
      <c r="K7" s="69">
        <f t="shared" si="8"/>
        <v>2815.662146</v>
      </c>
      <c r="L7" s="69">
        <f t="shared" si="9"/>
        <v>2829.231299</v>
      </c>
      <c r="M7" s="69">
        <f t="shared" si="10"/>
        <v>2842.52711</v>
      </c>
      <c r="N7" s="69">
        <f t="shared" si="11"/>
        <v>2855.516914</v>
      </c>
      <c r="O7" s="24">
        <v>2091.0</v>
      </c>
      <c r="P7" s="6">
        <f t="shared" si="12"/>
        <v>2091</v>
      </c>
      <c r="Q7" s="69">
        <f t="shared" si="13"/>
        <v>2229.733859</v>
      </c>
      <c r="R7" s="69">
        <f t="shared" si="14"/>
        <v>2230.673385</v>
      </c>
      <c r="S7" s="69">
        <f t="shared" si="15"/>
        <v>2231.612911</v>
      </c>
    </row>
    <row r="8">
      <c r="A8" s="24">
        <v>2.61160603E9</v>
      </c>
      <c r="B8" s="24" t="s">
        <v>45</v>
      </c>
      <c r="C8" s="24">
        <v>8854.0</v>
      </c>
      <c r="D8" s="69">
        <f t="shared" si="1"/>
        <v>8964.165645</v>
      </c>
      <c r="E8" s="69">
        <f t="shared" si="2"/>
        <v>9013.568033</v>
      </c>
      <c r="F8" s="69">
        <f t="shared" si="3"/>
        <v>9271.35541</v>
      </c>
      <c r="G8" s="69">
        <f t="shared" si="4"/>
        <v>9323.377753</v>
      </c>
      <c r="H8" s="69">
        <f t="shared" si="5"/>
        <v>9373.777116</v>
      </c>
      <c r="I8" s="69">
        <f t="shared" si="6"/>
        <v>9422.466551</v>
      </c>
      <c r="J8" s="69">
        <f t="shared" si="7"/>
        <v>9469.498228</v>
      </c>
      <c r="K8" s="69">
        <f t="shared" si="8"/>
        <v>9493.477775</v>
      </c>
      <c r="L8" s="69">
        <f t="shared" si="9"/>
        <v>9539.228455</v>
      </c>
      <c r="M8" s="69">
        <f t="shared" si="10"/>
        <v>9584.057515</v>
      </c>
      <c r="N8" s="69">
        <f t="shared" si="11"/>
        <v>9627.854821</v>
      </c>
      <c r="O8" s="24">
        <v>7089.0</v>
      </c>
      <c r="P8" s="6">
        <f t="shared" si="12"/>
        <v>7089</v>
      </c>
      <c r="Q8" s="69">
        <f t="shared" si="13"/>
        <v>7559.341619</v>
      </c>
      <c r="R8" s="69">
        <f t="shared" si="14"/>
        <v>7562.526841</v>
      </c>
      <c r="S8" s="69">
        <f t="shared" si="15"/>
        <v>7565.712063</v>
      </c>
    </row>
    <row r="9">
      <c r="A9" s="24">
        <v>2.611606077E9</v>
      </c>
      <c r="B9" s="24" t="s">
        <v>46</v>
      </c>
      <c r="C9" s="24">
        <v>9237.0</v>
      </c>
      <c r="D9" s="69">
        <f t="shared" si="1"/>
        <v>9351.931111</v>
      </c>
      <c r="E9" s="69">
        <f t="shared" si="2"/>
        <v>9403.470513</v>
      </c>
      <c r="F9" s="69">
        <f t="shared" si="3"/>
        <v>9672.409072</v>
      </c>
      <c r="G9" s="69">
        <f t="shared" si="4"/>
        <v>9726.681761</v>
      </c>
      <c r="H9" s="69">
        <f t="shared" si="5"/>
        <v>9779.261262</v>
      </c>
      <c r="I9" s="69">
        <f t="shared" si="6"/>
        <v>9830.056871</v>
      </c>
      <c r="J9" s="69">
        <f t="shared" si="7"/>
        <v>9879.12301</v>
      </c>
      <c r="K9" s="69">
        <f t="shared" si="8"/>
        <v>9904.139847</v>
      </c>
      <c r="L9" s="69">
        <f t="shared" si="9"/>
        <v>9951.869578</v>
      </c>
      <c r="M9" s="69">
        <f t="shared" si="10"/>
        <v>9998.63782</v>
      </c>
      <c r="N9" s="69">
        <f t="shared" si="11"/>
        <v>10044.32968</v>
      </c>
      <c r="O9" s="24">
        <v>7408.0</v>
      </c>
      <c r="P9" s="6">
        <f t="shared" si="12"/>
        <v>7408</v>
      </c>
      <c r="Q9" s="69">
        <f t="shared" si="13"/>
        <v>7899.50666</v>
      </c>
      <c r="R9" s="69">
        <f t="shared" si="14"/>
        <v>7902.835215</v>
      </c>
      <c r="S9" s="69">
        <f t="shared" si="15"/>
        <v>7906.16377</v>
      </c>
    </row>
    <row r="10">
      <c r="A10" s="24">
        <v>2.611606051E9</v>
      </c>
      <c r="B10" s="24" t="s">
        <v>47</v>
      </c>
      <c r="C10" s="24">
        <v>10169.0</v>
      </c>
      <c r="D10" s="69">
        <f t="shared" si="1"/>
        <v>10295.5275</v>
      </c>
      <c r="E10" s="69">
        <f t="shared" si="2"/>
        <v>10352.26715</v>
      </c>
      <c r="F10" s="69">
        <f t="shared" si="3"/>
        <v>10648.34122</v>
      </c>
      <c r="G10" s="69">
        <f t="shared" si="4"/>
        <v>10708.08995</v>
      </c>
      <c r="H10" s="69">
        <f t="shared" si="5"/>
        <v>10765.97464</v>
      </c>
      <c r="I10" s="69">
        <f t="shared" si="6"/>
        <v>10821.89546</v>
      </c>
      <c r="J10" s="69">
        <f t="shared" si="7"/>
        <v>10875.9123</v>
      </c>
      <c r="K10" s="69">
        <f t="shared" si="8"/>
        <v>10903.4533</v>
      </c>
      <c r="L10" s="69">
        <f t="shared" si="9"/>
        <v>10955.99889</v>
      </c>
      <c r="M10" s="69">
        <f t="shared" si="10"/>
        <v>11007.48598</v>
      </c>
      <c r="N10" s="69">
        <f t="shared" si="11"/>
        <v>11057.78808</v>
      </c>
      <c r="O10" s="24">
        <v>8217.0</v>
      </c>
      <c r="P10" s="6">
        <f t="shared" si="12"/>
        <v>8217</v>
      </c>
      <c r="Q10" s="69">
        <f t="shared" si="13"/>
        <v>8762.182266</v>
      </c>
      <c r="R10" s="69">
        <f t="shared" si="14"/>
        <v>8765.87432</v>
      </c>
      <c r="S10" s="69">
        <f t="shared" si="15"/>
        <v>8769.566374</v>
      </c>
    </row>
    <row r="11">
      <c r="A11" s="24">
        <v>2.61160609E9</v>
      </c>
      <c r="B11" s="24" t="s">
        <v>48</v>
      </c>
      <c r="C11" s="24">
        <v>24986.0</v>
      </c>
      <c r="D11" s="69">
        <f t="shared" si="1"/>
        <v>25296.8876</v>
      </c>
      <c r="E11" s="69">
        <f t="shared" si="2"/>
        <v>25436.30121</v>
      </c>
      <c r="F11" s="69">
        <f t="shared" si="3"/>
        <v>26163.77753</v>
      </c>
      <c r="G11" s="69">
        <f t="shared" si="4"/>
        <v>26310.58466</v>
      </c>
      <c r="H11" s="69">
        <f t="shared" si="5"/>
        <v>26452.81172</v>
      </c>
      <c r="I11" s="69">
        <f t="shared" si="6"/>
        <v>26590.21338</v>
      </c>
      <c r="J11" s="69">
        <f t="shared" si="7"/>
        <v>26722.93683</v>
      </c>
      <c r="K11" s="69">
        <f t="shared" si="8"/>
        <v>26790.60715</v>
      </c>
      <c r="L11" s="69">
        <f t="shared" si="9"/>
        <v>26919.71563</v>
      </c>
      <c r="M11" s="69">
        <f t="shared" si="10"/>
        <v>27046.2233</v>
      </c>
      <c r="N11" s="69">
        <f t="shared" si="11"/>
        <v>27169.81935</v>
      </c>
      <c r="O11" s="24">
        <v>20610.0</v>
      </c>
      <c r="P11" s="6">
        <f t="shared" si="12"/>
        <v>20610</v>
      </c>
      <c r="Q11" s="69">
        <f t="shared" si="13"/>
        <v>21977.43416</v>
      </c>
      <c r="R11" s="69">
        <f t="shared" si="14"/>
        <v>21986.69462</v>
      </c>
      <c r="S11" s="69">
        <f t="shared" si="15"/>
        <v>21995.95509</v>
      </c>
    </row>
    <row r="12">
      <c r="A12" s="24">
        <v>2.61160605E9</v>
      </c>
      <c r="B12" s="24" t="s">
        <v>49</v>
      </c>
      <c r="C12" s="24">
        <v>12453.0</v>
      </c>
      <c r="D12" s="69">
        <f t="shared" si="1"/>
        <v>12607.9461</v>
      </c>
      <c r="E12" s="69">
        <f t="shared" si="2"/>
        <v>12677.42972</v>
      </c>
      <c r="F12" s="69">
        <f t="shared" si="3"/>
        <v>13040.00327</v>
      </c>
      <c r="G12" s="69">
        <f t="shared" si="4"/>
        <v>13113.17181</v>
      </c>
      <c r="H12" s="69">
        <f t="shared" si="5"/>
        <v>13184.05765</v>
      </c>
      <c r="I12" s="69">
        <f t="shared" si="6"/>
        <v>13252.53851</v>
      </c>
      <c r="J12" s="69">
        <f t="shared" si="7"/>
        <v>13318.68776</v>
      </c>
      <c r="K12" s="69">
        <f t="shared" si="8"/>
        <v>13352.41458</v>
      </c>
      <c r="L12" s="69">
        <f t="shared" si="9"/>
        <v>13416.76214</v>
      </c>
      <c r="M12" s="69">
        <f t="shared" si="10"/>
        <v>13479.81344</v>
      </c>
      <c r="N12" s="69">
        <f t="shared" si="11"/>
        <v>13541.41361</v>
      </c>
      <c r="O12" s="24">
        <v>10365.0</v>
      </c>
      <c r="P12" s="6">
        <f t="shared" si="12"/>
        <v>10365</v>
      </c>
      <c r="Q12" s="69">
        <f t="shared" si="13"/>
        <v>11052.69797</v>
      </c>
      <c r="R12" s="69">
        <f t="shared" si="14"/>
        <v>11057.35516</v>
      </c>
      <c r="S12" s="69">
        <f t="shared" si="15"/>
        <v>11062.01235</v>
      </c>
    </row>
    <row r="13">
      <c r="A13" s="24">
        <v>2.611606079E9</v>
      </c>
      <c r="B13" s="24" t="s">
        <v>50</v>
      </c>
      <c r="C13" s="24">
        <v>10458.0</v>
      </c>
      <c r="D13" s="69">
        <f t="shared" si="1"/>
        <v>10588.12337</v>
      </c>
      <c r="E13" s="69">
        <f t="shared" si="2"/>
        <v>10646.47555</v>
      </c>
      <c r="F13" s="69">
        <f t="shared" si="3"/>
        <v>10950.96396</v>
      </c>
      <c r="G13" s="69">
        <f t="shared" si="4"/>
        <v>11012.41072</v>
      </c>
      <c r="H13" s="69">
        <f t="shared" si="5"/>
        <v>11071.94049</v>
      </c>
      <c r="I13" s="69">
        <f t="shared" si="6"/>
        <v>11129.45055</v>
      </c>
      <c r="J13" s="69">
        <f t="shared" si="7"/>
        <v>11185.00254</v>
      </c>
      <c r="K13" s="69">
        <f t="shared" si="8"/>
        <v>11213.32624</v>
      </c>
      <c r="L13" s="69">
        <f t="shared" si="9"/>
        <v>11267.36517</v>
      </c>
      <c r="M13" s="69">
        <f t="shared" si="10"/>
        <v>11320.31551</v>
      </c>
      <c r="N13" s="69">
        <f t="shared" si="11"/>
        <v>11372.04718</v>
      </c>
      <c r="O13" s="24">
        <v>8738.0</v>
      </c>
      <c r="P13" s="6">
        <f t="shared" si="12"/>
        <v>8738</v>
      </c>
      <c r="Q13" s="69">
        <f t="shared" si="13"/>
        <v>9317.749621</v>
      </c>
      <c r="R13" s="69">
        <f t="shared" si="14"/>
        <v>9321.67577</v>
      </c>
      <c r="S13" s="69">
        <f t="shared" si="15"/>
        <v>9325.60192</v>
      </c>
    </row>
    <row r="14">
      <c r="A14" s="24">
        <v>2.611606045E9</v>
      </c>
      <c r="B14" s="24" t="s">
        <v>51</v>
      </c>
      <c r="C14" s="24">
        <v>34204.0</v>
      </c>
      <c r="D14" s="69">
        <f t="shared" si="1"/>
        <v>34629.5823</v>
      </c>
      <c r="E14" s="69">
        <f t="shared" si="2"/>
        <v>34820.4293</v>
      </c>
      <c r="F14" s="69">
        <f t="shared" si="3"/>
        <v>35816.29099</v>
      </c>
      <c r="G14" s="69">
        <f t="shared" si="4"/>
        <v>36017.25917</v>
      </c>
      <c r="H14" s="69">
        <f t="shared" si="5"/>
        <v>36211.95759</v>
      </c>
      <c r="I14" s="69">
        <f t="shared" si="6"/>
        <v>36400.05036</v>
      </c>
      <c r="J14" s="69">
        <f t="shared" si="7"/>
        <v>36581.73903</v>
      </c>
      <c r="K14" s="69">
        <f t="shared" si="8"/>
        <v>36674.37472</v>
      </c>
      <c r="L14" s="69">
        <f t="shared" si="9"/>
        <v>36851.11476</v>
      </c>
      <c r="M14" s="69">
        <f t="shared" si="10"/>
        <v>37024.29447</v>
      </c>
      <c r="N14" s="69">
        <f t="shared" si="11"/>
        <v>37193.4884</v>
      </c>
      <c r="O14" s="24">
        <v>28697.0</v>
      </c>
      <c r="P14" s="6">
        <f t="shared" si="12"/>
        <v>28697</v>
      </c>
      <c r="Q14" s="69">
        <f t="shared" si="13"/>
        <v>30600.99117</v>
      </c>
      <c r="R14" s="69">
        <f t="shared" si="14"/>
        <v>30613.88528</v>
      </c>
      <c r="S14" s="69">
        <f t="shared" si="15"/>
        <v>30626.77939</v>
      </c>
    </row>
    <row r="15">
      <c r="A15" s="24">
        <v>2.611606014E9</v>
      </c>
      <c r="B15" s="24" t="s">
        <v>52</v>
      </c>
      <c r="C15" s="24">
        <v>1591.0</v>
      </c>
      <c r="D15" s="69">
        <f t="shared" si="1"/>
        <v>1610.795973</v>
      </c>
      <c r="E15" s="69">
        <f t="shared" si="2"/>
        <v>1619.673226</v>
      </c>
      <c r="F15" s="69">
        <f t="shared" si="3"/>
        <v>1665.99576</v>
      </c>
      <c r="G15" s="69">
        <f t="shared" si="4"/>
        <v>1675.3438</v>
      </c>
      <c r="H15" s="69">
        <f t="shared" si="5"/>
        <v>1684.400202</v>
      </c>
      <c r="I15" s="69">
        <f t="shared" si="6"/>
        <v>1693.149343</v>
      </c>
      <c r="J15" s="69">
        <f t="shared" si="7"/>
        <v>1701.600596</v>
      </c>
      <c r="K15" s="69">
        <f t="shared" si="8"/>
        <v>1705.909548</v>
      </c>
      <c r="L15" s="69">
        <f t="shared" si="9"/>
        <v>1714.130616</v>
      </c>
      <c r="M15" s="69">
        <f t="shared" si="10"/>
        <v>1722.186075</v>
      </c>
      <c r="N15" s="69">
        <f t="shared" si="11"/>
        <v>1730.056135</v>
      </c>
      <c r="O15" s="24">
        <v>1342.0</v>
      </c>
      <c r="P15" s="6">
        <f t="shared" si="12"/>
        <v>1342</v>
      </c>
      <c r="Q15" s="69">
        <f t="shared" si="13"/>
        <v>1431.039138</v>
      </c>
      <c r="R15" s="69">
        <f t="shared" si="14"/>
        <v>1431.642124</v>
      </c>
      <c r="S15" s="69">
        <f t="shared" si="15"/>
        <v>1432.245111</v>
      </c>
    </row>
    <row r="16">
      <c r="A16" s="24">
        <v>2.611606032E9</v>
      </c>
      <c r="B16" s="24" t="s">
        <v>53</v>
      </c>
      <c r="C16" s="24">
        <v>7694.0</v>
      </c>
      <c r="D16" s="69">
        <f t="shared" si="1"/>
        <v>7789.732378</v>
      </c>
      <c r="E16" s="69">
        <f t="shared" si="2"/>
        <v>7832.66235</v>
      </c>
      <c r="F16" s="69">
        <f t="shared" si="3"/>
        <v>8056.675912</v>
      </c>
      <c r="G16" s="69">
        <f t="shared" si="4"/>
        <v>8101.882588</v>
      </c>
      <c r="H16" s="69">
        <f t="shared" si="5"/>
        <v>8145.678917</v>
      </c>
      <c r="I16" s="69">
        <f t="shared" si="6"/>
        <v>8187.989343</v>
      </c>
      <c r="J16" s="69">
        <f t="shared" si="7"/>
        <v>8228.859201</v>
      </c>
      <c r="K16" s="69">
        <f t="shared" si="8"/>
        <v>8249.697086</v>
      </c>
      <c r="L16" s="69">
        <f t="shared" si="9"/>
        <v>8289.453776</v>
      </c>
      <c r="M16" s="69">
        <f t="shared" si="10"/>
        <v>8328.409591</v>
      </c>
      <c r="N16" s="69">
        <f t="shared" si="11"/>
        <v>8366.468827</v>
      </c>
      <c r="O16" s="24">
        <v>6495.0</v>
      </c>
      <c r="P16" s="6">
        <f t="shared" si="12"/>
        <v>6495</v>
      </c>
      <c r="Q16" s="69">
        <f t="shared" si="13"/>
        <v>6925.930853</v>
      </c>
      <c r="R16" s="69">
        <f t="shared" si="14"/>
        <v>6928.849179</v>
      </c>
      <c r="S16" s="69">
        <f t="shared" si="15"/>
        <v>6931.767506</v>
      </c>
    </row>
    <row r="17">
      <c r="A17" s="24">
        <v>2.611606004E9</v>
      </c>
      <c r="B17" s="24" t="s">
        <v>54</v>
      </c>
      <c r="C17" s="24">
        <v>2459.0</v>
      </c>
      <c r="D17" s="69">
        <f t="shared" si="1"/>
        <v>2489.596038</v>
      </c>
      <c r="E17" s="69">
        <f t="shared" si="2"/>
        <v>2503.316444</v>
      </c>
      <c r="F17" s="69">
        <f t="shared" si="3"/>
        <v>2574.911108</v>
      </c>
      <c r="G17" s="69">
        <f t="shared" si="4"/>
        <v>2589.359148</v>
      </c>
      <c r="H17" s="69">
        <f t="shared" si="5"/>
        <v>2603.356441</v>
      </c>
      <c r="I17" s="69">
        <f t="shared" si="6"/>
        <v>2616.87884</v>
      </c>
      <c r="J17" s="69">
        <f t="shared" si="7"/>
        <v>2629.940834</v>
      </c>
      <c r="K17" s="69">
        <f t="shared" si="8"/>
        <v>2636.600615</v>
      </c>
      <c r="L17" s="69">
        <f t="shared" si="9"/>
        <v>2649.306841</v>
      </c>
      <c r="M17" s="69">
        <f t="shared" si="10"/>
        <v>2661.757107</v>
      </c>
      <c r="N17" s="69">
        <f t="shared" si="11"/>
        <v>2673.920827</v>
      </c>
      <c r="O17" s="24">
        <v>2081.0</v>
      </c>
      <c r="P17" s="6">
        <f t="shared" si="12"/>
        <v>2081</v>
      </c>
      <c r="Q17" s="69">
        <f t="shared" si="13"/>
        <v>2219.070378</v>
      </c>
      <c r="R17" s="69">
        <f t="shared" si="14"/>
        <v>2220.005411</v>
      </c>
      <c r="S17" s="69">
        <f t="shared" si="15"/>
        <v>2220.940443</v>
      </c>
    </row>
    <row r="18">
      <c r="A18" s="24">
        <v>2.611606056E9</v>
      </c>
      <c r="B18" s="24" t="s">
        <v>55</v>
      </c>
      <c r="C18" s="24">
        <v>3027.0</v>
      </c>
      <c r="D18" s="69">
        <f t="shared" si="1"/>
        <v>3064.663362</v>
      </c>
      <c r="E18" s="69">
        <f t="shared" si="2"/>
        <v>3081.55302</v>
      </c>
      <c r="F18" s="69">
        <f t="shared" si="3"/>
        <v>3169.685207</v>
      </c>
      <c r="G18" s="69">
        <f t="shared" si="4"/>
        <v>3187.470574</v>
      </c>
      <c r="H18" s="69">
        <f t="shared" si="5"/>
        <v>3204.701076</v>
      </c>
      <c r="I18" s="69">
        <f t="shared" si="6"/>
        <v>3221.34699</v>
      </c>
      <c r="J18" s="69">
        <f t="shared" si="7"/>
        <v>3237.42615</v>
      </c>
      <c r="K18" s="69">
        <f t="shared" si="8"/>
        <v>3245.624263</v>
      </c>
      <c r="L18" s="69">
        <f t="shared" si="9"/>
        <v>3261.265477</v>
      </c>
      <c r="M18" s="69">
        <f t="shared" si="10"/>
        <v>3276.591608</v>
      </c>
      <c r="N18" s="69">
        <f t="shared" si="11"/>
        <v>3291.565004</v>
      </c>
      <c r="O18" s="24">
        <v>2574.0</v>
      </c>
      <c r="P18" s="6">
        <f t="shared" si="12"/>
        <v>2574</v>
      </c>
      <c r="Q18" s="69">
        <f t="shared" si="13"/>
        <v>2744.779987</v>
      </c>
      <c r="R18" s="69">
        <f t="shared" si="14"/>
        <v>2745.936534</v>
      </c>
      <c r="S18" s="69">
        <f t="shared" si="15"/>
        <v>2747.093081</v>
      </c>
    </row>
    <row r="19">
      <c r="A19" s="24">
        <v>2.611606067E9</v>
      </c>
      <c r="B19" s="24" t="s">
        <v>56</v>
      </c>
      <c r="C19" s="24">
        <v>12415.0</v>
      </c>
      <c r="D19" s="69">
        <f t="shared" si="1"/>
        <v>12569.47329</v>
      </c>
      <c r="E19" s="69">
        <f t="shared" si="2"/>
        <v>12638.74488</v>
      </c>
      <c r="F19" s="69">
        <f t="shared" si="3"/>
        <v>13000.21204</v>
      </c>
      <c r="G19" s="69">
        <f t="shared" si="4"/>
        <v>13073.15731</v>
      </c>
      <c r="H19" s="69">
        <f t="shared" si="5"/>
        <v>13143.82685</v>
      </c>
      <c r="I19" s="69">
        <f t="shared" si="6"/>
        <v>13212.09874</v>
      </c>
      <c r="J19" s="69">
        <f t="shared" si="7"/>
        <v>13278.04614</v>
      </c>
      <c r="K19" s="69">
        <f t="shared" si="8"/>
        <v>13311.67004</v>
      </c>
      <c r="L19" s="69">
        <f t="shared" si="9"/>
        <v>13375.82124</v>
      </c>
      <c r="M19" s="69">
        <f t="shared" si="10"/>
        <v>13438.68015</v>
      </c>
      <c r="N19" s="69">
        <f t="shared" si="11"/>
        <v>13500.09234</v>
      </c>
      <c r="O19" s="24">
        <v>10642.0</v>
      </c>
      <c r="P19" s="6">
        <f t="shared" si="12"/>
        <v>10642</v>
      </c>
      <c r="Q19" s="69">
        <f t="shared" si="13"/>
        <v>11348.07639</v>
      </c>
      <c r="R19" s="69">
        <f t="shared" si="14"/>
        <v>11352.85804</v>
      </c>
      <c r="S19" s="69">
        <f t="shared" si="15"/>
        <v>11357.63969</v>
      </c>
    </row>
    <row r="20">
      <c r="A20" s="24">
        <v>2.611606081E9</v>
      </c>
      <c r="B20" s="24" t="s">
        <v>57</v>
      </c>
      <c r="C20" s="24">
        <v>2419.0</v>
      </c>
      <c r="D20" s="69">
        <f t="shared" si="1"/>
        <v>2449.098339</v>
      </c>
      <c r="E20" s="69">
        <f t="shared" si="2"/>
        <v>2462.595558</v>
      </c>
      <c r="F20" s="69">
        <f t="shared" si="3"/>
        <v>2533.025608</v>
      </c>
      <c r="G20" s="69">
        <f t="shared" si="4"/>
        <v>2547.238625</v>
      </c>
      <c r="H20" s="69">
        <f t="shared" si="5"/>
        <v>2561.008227</v>
      </c>
      <c r="I20" s="69">
        <f t="shared" si="6"/>
        <v>2574.31066</v>
      </c>
      <c r="J20" s="69">
        <f t="shared" si="7"/>
        <v>2587.160178</v>
      </c>
      <c r="K20" s="69">
        <f t="shared" si="8"/>
        <v>2593.711626</v>
      </c>
      <c r="L20" s="69">
        <f t="shared" si="9"/>
        <v>2606.211163</v>
      </c>
      <c r="M20" s="69">
        <f t="shared" si="10"/>
        <v>2618.458903</v>
      </c>
      <c r="N20" s="69">
        <f t="shared" si="11"/>
        <v>2630.424759</v>
      </c>
      <c r="O20" s="24">
        <v>2074.0</v>
      </c>
      <c r="P20" s="6">
        <f t="shared" si="12"/>
        <v>2074</v>
      </c>
      <c r="Q20" s="69">
        <f t="shared" si="13"/>
        <v>2211.605941</v>
      </c>
      <c r="R20" s="69">
        <f t="shared" si="14"/>
        <v>2212.537829</v>
      </c>
      <c r="S20" s="69">
        <f t="shared" si="15"/>
        <v>2213.469716</v>
      </c>
    </row>
    <row r="21">
      <c r="A21" s="24">
        <v>2.611606049E9</v>
      </c>
      <c r="B21" s="24" t="s">
        <v>58</v>
      </c>
      <c r="C21" s="24">
        <v>31016.0</v>
      </c>
      <c r="D21" s="69">
        <f t="shared" si="1"/>
        <v>31401.9157</v>
      </c>
      <c r="E21" s="69">
        <f t="shared" si="2"/>
        <v>31574.97471</v>
      </c>
      <c r="F21" s="69">
        <f t="shared" si="3"/>
        <v>32478.01665</v>
      </c>
      <c r="G21" s="69">
        <f t="shared" si="4"/>
        <v>32660.25349</v>
      </c>
      <c r="H21" s="69">
        <f t="shared" si="5"/>
        <v>32836.80495</v>
      </c>
      <c r="I21" s="69">
        <f t="shared" si="6"/>
        <v>33007.36645</v>
      </c>
      <c r="J21" s="69">
        <f t="shared" si="7"/>
        <v>33172.12074</v>
      </c>
      <c r="K21" s="69">
        <f t="shared" si="8"/>
        <v>33256.12228</v>
      </c>
      <c r="L21" s="69">
        <f t="shared" si="9"/>
        <v>33416.38918</v>
      </c>
      <c r="M21" s="69">
        <f t="shared" si="10"/>
        <v>33573.42759</v>
      </c>
      <c r="N21" s="69">
        <f t="shared" si="11"/>
        <v>33726.85172</v>
      </c>
      <c r="O21" s="62">
        <v>26631.0</v>
      </c>
      <c r="P21" s="6">
        <f t="shared" si="12"/>
        <v>26631</v>
      </c>
      <c r="Q21" s="69">
        <f t="shared" si="13"/>
        <v>28397.91602</v>
      </c>
      <c r="R21" s="69">
        <f t="shared" si="14"/>
        <v>28409.88183</v>
      </c>
      <c r="S21" s="69">
        <f t="shared" si="15"/>
        <v>28421.84764</v>
      </c>
    </row>
    <row r="22">
      <c r="A22" s="24">
        <v>2.611606031E9</v>
      </c>
      <c r="B22" s="24" t="s">
        <v>59</v>
      </c>
      <c r="C22" s="24">
        <v>7703.0</v>
      </c>
      <c r="D22" s="69">
        <f t="shared" si="1"/>
        <v>7798.84436</v>
      </c>
      <c r="E22" s="69">
        <f t="shared" si="2"/>
        <v>7841.824549</v>
      </c>
      <c r="F22" s="69">
        <f t="shared" si="3"/>
        <v>8066.100149</v>
      </c>
      <c r="G22" s="69">
        <f t="shared" si="4"/>
        <v>8111.359706</v>
      </c>
      <c r="H22" s="69">
        <f t="shared" si="5"/>
        <v>8155.207265</v>
      </c>
      <c r="I22" s="69">
        <f t="shared" si="6"/>
        <v>8197.567184</v>
      </c>
      <c r="J22" s="69">
        <f t="shared" si="7"/>
        <v>8238.484849</v>
      </c>
      <c r="K22" s="69">
        <f t="shared" si="8"/>
        <v>8259.347109</v>
      </c>
      <c r="L22" s="69">
        <f t="shared" si="9"/>
        <v>8299.150304</v>
      </c>
      <c r="M22" s="69">
        <f t="shared" si="10"/>
        <v>8338.151687</v>
      </c>
      <c r="N22" s="69">
        <f t="shared" si="11"/>
        <v>8376.255443</v>
      </c>
      <c r="O22" s="24">
        <v>6620.0</v>
      </c>
      <c r="P22" s="6">
        <f t="shared" si="12"/>
        <v>6620</v>
      </c>
      <c r="Q22" s="69">
        <f t="shared" si="13"/>
        <v>7059.224364</v>
      </c>
      <c r="R22" s="69">
        <f t="shared" si="14"/>
        <v>7062.198856</v>
      </c>
      <c r="S22" s="69">
        <f t="shared" si="15"/>
        <v>7065.173347</v>
      </c>
    </row>
    <row r="23">
      <c r="A23" s="24">
        <v>2.611606015E9</v>
      </c>
      <c r="B23" s="24" t="s">
        <v>60</v>
      </c>
      <c r="C23" s="24">
        <v>5768.0</v>
      </c>
      <c r="D23" s="69">
        <f t="shared" si="1"/>
        <v>5839.768177</v>
      </c>
      <c r="E23" s="69">
        <f t="shared" si="2"/>
        <v>5871.951707</v>
      </c>
      <c r="F23" s="69">
        <f t="shared" si="3"/>
        <v>6039.88909</v>
      </c>
      <c r="G23" s="69">
        <f t="shared" si="4"/>
        <v>6073.779408</v>
      </c>
      <c r="H23" s="69">
        <f t="shared" si="5"/>
        <v>6106.612424</v>
      </c>
      <c r="I23" s="69">
        <f t="shared" si="6"/>
        <v>6138.331496</v>
      </c>
      <c r="J23" s="69">
        <f t="shared" si="7"/>
        <v>6168.97061</v>
      </c>
      <c r="K23" s="69">
        <f t="shared" si="8"/>
        <v>6184.592253</v>
      </c>
      <c r="L23" s="69">
        <f t="shared" si="9"/>
        <v>6214.396852</v>
      </c>
      <c r="M23" s="69">
        <f t="shared" si="10"/>
        <v>6243.601055</v>
      </c>
      <c r="N23" s="69">
        <f t="shared" si="11"/>
        <v>6272.133116</v>
      </c>
      <c r="O23" s="24">
        <v>4990.0</v>
      </c>
      <c r="P23" s="6">
        <f t="shared" si="12"/>
        <v>4990</v>
      </c>
      <c r="Q23" s="69">
        <f t="shared" si="13"/>
        <v>5321.076975</v>
      </c>
      <c r="R23" s="69">
        <f t="shared" si="14"/>
        <v>5323.319077</v>
      </c>
      <c r="S23" s="69">
        <f t="shared" si="15"/>
        <v>5325.561179</v>
      </c>
    </row>
    <row r="24">
      <c r="A24" s="24">
        <v>2.611606075E9</v>
      </c>
      <c r="B24" s="24" t="s">
        <v>61</v>
      </c>
      <c r="C24" s="24">
        <v>36205.0</v>
      </c>
      <c r="D24" s="69">
        <f t="shared" si="1"/>
        <v>36655.47969</v>
      </c>
      <c r="E24" s="69">
        <f t="shared" si="2"/>
        <v>36857.4916</v>
      </c>
      <c r="F24" s="69">
        <f t="shared" si="3"/>
        <v>37911.61313</v>
      </c>
      <c r="G24" s="69">
        <f t="shared" si="4"/>
        <v>38124.33833</v>
      </c>
      <c r="H24" s="69">
        <f t="shared" si="5"/>
        <v>38330.42698</v>
      </c>
      <c r="I24" s="69">
        <f t="shared" si="6"/>
        <v>38529.52355</v>
      </c>
      <c r="J24" s="69">
        <f t="shared" si="7"/>
        <v>38721.84135</v>
      </c>
      <c r="K24" s="69">
        <f t="shared" si="8"/>
        <v>38819.89641</v>
      </c>
      <c r="L24" s="69">
        <f t="shared" si="9"/>
        <v>39006.97608</v>
      </c>
      <c r="M24" s="69">
        <f t="shared" si="10"/>
        <v>39190.28714</v>
      </c>
      <c r="N24" s="69">
        <f t="shared" si="11"/>
        <v>39369.37924</v>
      </c>
      <c r="O24" s="24">
        <v>31457.0</v>
      </c>
      <c r="P24" s="6">
        <f t="shared" si="12"/>
        <v>31457</v>
      </c>
      <c r="Q24" s="69">
        <f t="shared" si="13"/>
        <v>33544.11191</v>
      </c>
      <c r="R24" s="69">
        <f t="shared" si="14"/>
        <v>33558.24613</v>
      </c>
      <c r="S24" s="69">
        <f t="shared" si="15"/>
        <v>33572.38036</v>
      </c>
    </row>
    <row r="25">
      <c r="A25" s="24">
        <v>2.611606065E9</v>
      </c>
      <c r="B25" s="24" t="s">
        <v>62</v>
      </c>
      <c r="C25" s="24">
        <v>8096.0</v>
      </c>
      <c r="D25" s="69">
        <f t="shared" si="1"/>
        <v>8196.734251</v>
      </c>
      <c r="E25" s="69">
        <f t="shared" si="2"/>
        <v>8241.90725</v>
      </c>
      <c r="F25" s="69">
        <f t="shared" si="3"/>
        <v>8477.625186</v>
      </c>
      <c r="G25" s="69">
        <f t="shared" si="4"/>
        <v>8525.193844</v>
      </c>
      <c r="H25" s="69">
        <f t="shared" si="5"/>
        <v>8571.278465</v>
      </c>
      <c r="I25" s="69">
        <f t="shared" si="6"/>
        <v>8615.799548</v>
      </c>
      <c r="J25" s="69">
        <f t="shared" si="7"/>
        <v>8658.804795</v>
      </c>
      <c r="K25" s="69">
        <f t="shared" si="8"/>
        <v>8680.731428</v>
      </c>
      <c r="L25" s="69">
        <f t="shared" si="9"/>
        <v>8722.565346</v>
      </c>
      <c r="M25" s="69">
        <f t="shared" si="10"/>
        <v>8763.556544</v>
      </c>
      <c r="N25" s="69">
        <f t="shared" si="11"/>
        <v>8803.604318</v>
      </c>
      <c r="O25" s="24">
        <v>7060.0</v>
      </c>
      <c r="P25" s="6">
        <f t="shared" si="12"/>
        <v>7060</v>
      </c>
      <c r="Q25" s="69">
        <f t="shared" si="13"/>
        <v>7528.417524</v>
      </c>
      <c r="R25" s="69">
        <f t="shared" si="14"/>
        <v>7531.589716</v>
      </c>
      <c r="S25" s="69">
        <f t="shared" si="15"/>
        <v>7534.761908</v>
      </c>
    </row>
    <row r="26">
      <c r="A26" s="24">
        <v>2.611606082E9</v>
      </c>
      <c r="B26" s="24" t="s">
        <v>63</v>
      </c>
      <c r="C26" s="24">
        <v>10793.0</v>
      </c>
      <c r="D26" s="69">
        <f t="shared" si="1"/>
        <v>10927.2916</v>
      </c>
      <c r="E26" s="69">
        <f t="shared" si="2"/>
        <v>10987.51296</v>
      </c>
      <c r="F26" s="69">
        <f t="shared" si="3"/>
        <v>11301.75502</v>
      </c>
      <c r="G26" s="69">
        <f t="shared" si="4"/>
        <v>11365.1701</v>
      </c>
      <c r="H26" s="69">
        <f t="shared" si="5"/>
        <v>11426.60678</v>
      </c>
      <c r="I26" s="69">
        <f t="shared" si="6"/>
        <v>11485.95906</v>
      </c>
      <c r="J26" s="69">
        <f t="shared" si="7"/>
        <v>11543.29053</v>
      </c>
      <c r="K26" s="69">
        <f t="shared" si="8"/>
        <v>11572.52153</v>
      </c>
      <c r="L26" s="69">
        <f t="shared" si="9"/>
        <v>11628.29148</v>
      </c>
      <c r="M26" s="69">
        <f t="shared" si="10"/>
        <v>11682.93797</v>
      </c>
      <c r="N26" s="69">
        <f t="shared" si="11"/>
        <v>11736.32675</v>
      </c>
      <c r="O26" s="24">
        <v>9427.0</v>
      </c>
      <c r="P26" s="6">
        <f t="shared" si="12"/>
        <v>9427</v>
      </c>
      <c r="Q26" s="69">
        <f t="shared" si="13"/>
        <v>10052.46346</v>
      </c>
      <c r="R26" s="69">
        <f t="shared" si="14"/>
        <v>10056.69919</v>
      </c>
      <c r="S26" s="69">
        <f t="shared" si="15"/>
        <v>10060.93492</v>
      </c>
    </row>
    <row r="27">
      <c r="A27" s="24">
        <v>2.611606042E9</v>
      </c>
      <c r="B27" s="24" t="s">
        <v>64</v>
      </c>
      <c r="C27" s="24">
        <v>9246.0</v>
      </c>
      <c r="D27" s="69">
        <f t="shared" si="1"/>
        <v>9361.043094</v>
      </c>
      <c r="E27" s="69">
        <f t="shared" si="2"/>
        <v>9412.632712</v>
      </c>
      <c r="F27" s="69">
        <f t="shared" si="3"/>
        <v>9681.833309</v>
      </c>
      <c r="G27" s="69">
        <f t="shared" si="4"/>
        <v>9736.158878</v>
      </c>
      <c r="H27" s="69">
        <f t="shared" si="5"/>
        <v>9788.789611</v>
      </c>
      <c r="I27" s="69">
        <f t="shared" si="6"/>
        <v>9839.634711</v>
      </c>
      <c r="J27" s="69">
        <f t="shared" si="7"/>
        <v>9888.748658</v>
      </c>
      <c r="K27" s="69">
        <f t="shared" si="8"/>
        <v>9913.78987</v>
      </c>
      <c r="L27" s="69">
        <f t="shared" si="9"/>
        <v>9961.566106</v>
      </c>
      <c r="M27" s="69">
        <f t="shared" si="10"/>
        <v>10008.37992</v>
      </c>
      <c r="N27" s="69">
        <f t="shared" si="11"/>
        <v>10054.1163</v>
      </c>
      <c r="O27" s="24">
        <v>8086.0</v>
      </c>
      <c r="P27" s="6">
        <f t="shared" si="12"/>
        <v>8086</v>
      </c>
      <c r="Q27" s="69">
        <f t="shared" si="13"/>
        <v>8622.490666</v>
      </c>
      <c r="R27" s="69">
        <f t="shared" si="14"/>
        <v>8626.123859</v>
      </c>
      <c r="S27" s="69">
        <f t="shared" si="15"/>
        <v>8629.757052</v>
      </c>
    </row>
    <row r="28">
      <c r="A28" s="24">
        <v>2.611606021E9</v>
      </c>
      <c r="B28" s="24" t="s">
        <v>65</v>
      </c>
      <c r="C28" s="24">
        <v>14491.0</v>
      </c>
      <c r="D28" s="69">
        <f t="shared" si="1"/>
        <v>14671.30386</v>
      </c>
      <c r="E28" s="69">
        <f t="shared" si="2"/>
        <v>14752.15884</v>
      </c>
      <c r="F28" s="69">
        <f t="shared" si="3"/>
        <v>15174.06949</v>
      </c>
      <c r="G28" s="69">
        <f t="shared" si="4"/>
        <v>15259.21245</v>
      </c>
      <c r="H28" s="69">
        <f t="shared" si="5"/>
        <v>15341.69914</v>
      </c>
      <c r="I28" s="69">
        <f t="shared" si="6"/>
        <v>15421.38726</v>
      </c>
      <c r="J28" s="69">
        <f t="shared" si="7"/>
        <v>15498.36219</v>
      </c>
      <c r="K28" s="69">
        <f t="shared" si="8"/>
        <v>15537.60859</v>
      </c>
      <c r="L28" s="69">
        <f t="shared" si="9"/>
        <v>15612.48696</v>
      </c>
      <c r="M28" s="69">
        <f t="shared" si="10"/>
        <v>15685.85695</v>
      </c>
      <c r="N28" s="69">
        <f t="shared" si="11"/>
        <v>15757.53831</v>
      </c>
      <c r="O28" s="24">
        <v>12797.0</v>
      </c>
      <c r="P28" s="6">
        <f t="shared" si="12"/>
        <v>12797</v>
      </c>
      <c r="Q28" s="69">
        <f t="shared" si="13"/>
        <v>13646.05652</v>
      </c>
      <c r="R28" s="69">
        <f t="shared" si="14"/>
        <v>13651.80646</v>
      </c>
      <c r="S28" s="69">
        <f t="shared" si="15"/>
        <v>13657.55639</v>
      </c>
    </row>
    <row r="29">
      <c r="A29" s="24">
        <v>2.611606078E9</v>
      </c>
      <c r="B29" s="24" t="s">
        <v>66</v>
      </c>
      <c r="C29" s="24">
        <v>29892.0</v>
      </c>
      <c r="D29" s="69">
        <f t="shared" si="1"/>
        <v>30263.93037</v>
      </c>
      <c r="E29" s="69">
        <f t="shared" si="2"/>
        <v>30430.71783</v>
      </c>
      <c r="F29" s="69">
        <f t="shared" si="3"/>
        <v>31301.0341</v>
      </c>
      <c r="G29" s="69">
        <f t="shared" si="4"/>
        <v>31476.66679</v>
      </c>
      <c r="H29" s="69">
        <f t="shared" si="5"/>
        <v>31646.82014</v>
      </c>
      <c r="I29" s="69">
        <f t="shared" si="6"/>
        <v>31811.2006</v>
      </c>
      <c r="J29" s="69">
        <f t="shared" si="7"/>
        <v>31969.9843</v>
      </c>
      <c r="K29" s="69">
        <f t="shared" si="8"/>
        <v>32050.94168</v>
      </c>
      <c r="L29" s="69">
        <f t="shared" si="9"/>
        <v>32205.40061</v>
      </c>
      <c r="M29" s="69">
        <f t="shared" si="10"/>
        <v>32356.74805</v>
      </c>
      <c r="N29" s="69">
        <f t="shared" si="11"/>
        <v>32504.61219</v>
      </c>
      <c r="O29" s="24">
        <v>26740.0</v>
      </c>
      <c r="P29" s="6">
        <f t="shared" si="12"/>
        <v>26740</v>
      </c>
      <c r="Q29" s="69">
        <f t="shared" si="13"/>
        <v>28514.14796</v>
      </c>
      <c r="R29" s="69">
        <f t="shared" si="14"/>
        <v>28526.16275</v>
      </c>
      <c r="S29" s="69">
        <f t="shared" si="15"/>
        <v>28538.17754</v>
      </c>
    </row>
    <row r="30">
      <c r="A30" s="24">
        <v>2.611606035E9</v>
      </c>
      <c r="B30" s="24" t="s">
        <v>67</v>
      </c>
      <c r="C30" s="24">
        <v>43523.0</v>
      </c>
      <c r="D30" s="69">
        <f t="shared" si="1"/>
        <v>44064.5337</v>
      </c>
      <c r="E30" s="69">
        <f t="shared" si="2"/>
        <v>44307.37763</v>
      </c>
      <c r="F30" s="69">
        <f t="shared" si="3"/>
        <v>45574.56534</v>
      </c>
      <c r="G30" s="69">
        <f t="shared" si="4"/>
        <v>45830.288</v>
      </c>
      <c r="H30" s="69">
        <f t="shared" si="5"/>
        <v>46078.03269</v>
      </c>
      <c r="I30" s="69">
        <f t="shared" si="6"/>
        <v>46317.372</v>
      </c>
      <c r="J30" s="69">
        <f t="shared" si="7"/>
        <v>46548.56239</v>
      </c>
      <c r="K30" s="69">
        <f t="shared" si="8"/>
        <v>46666.437</v>
      </c>
      <c r="L30" s="69">
        <f t="shared" si="9"/>
        <v>46891.33048</v>
      </c>
      <c r="M30" s="69">
        <f t="shared" si="10"/>
        <v>47111.69361</v>
      </c>
      <c r="N30" s="69">
        <f t="shared" si="11"/>
        <v>47326.98502</v>
      </c>
      <c r="O30" s="24">
        <v>39012.0</v>
      </c>
      <c r="P30" s="6">
        <f t="shared" si="12"/>
        <v>39012</v>
      </c>
      <c r="Q30" s="69">
        <f t="shared" si="13"/>
        <v>41600.37174</v>
      </c>
      <c r="R30" s="69">
        <f t="shared" si="14"/>
        <v>41617.90057</v>
      </c>
      <c r="S30" s="69">
        <f t="shared" si="15"/>
        <v>41635.4294</v>
      </c>
    </row>
    <row r="31">
      <c r="A31" s="24">
        <v>2.611606089E9</v>
      </c>
      <c r="B31" s="24" t="s">
        <v>68</v>
      </c>
      <c r="C31" s="24">
        <v>50533.0</v>
      </c>
      <c r="D31" s="69">
        <f t="shared" si="1"/>
        <v>51161.75542</v>
      </c>
      <c r="E31" s="69">
        <f t="shared" si="2"/>
        <v>51443.71283</v>
      </c>
      <c r="F31" s="69">
        <f t="shared" si="3"/>
        <v>52914.9992</v>
      </c>
      <c r="G31" s="69">
        <f t="shared" si="4"/>
        <v>53211.90965</v>
      </c>
      <c r="H31" s="69">
        <f t="shared" si="5"/>
        <v>53499.55715</v>
      </c>
      <c r="I31" s="69">
        <f t="shared" si="6"/>
        <v>53777.44548</v>
      </c>
      <c r="J31" s="69">
        <f t="shared" si="7"/>
        <v>54045.87237</v>
      </c>
      <c r="K31" s="69">
        <f t="shared" si="8"/>
        <v>54182.73237</v>
      </c>
      <c r="L31" s="69">
        <f t="shared" si="9"/>
        <v>54443.84815</v>
      </c>
      <c r="M31" s="69">
        <f t="shared" si="10"/>
        <v>54699.70391</v>
      </c>
      <c r="N31" s="69">
        <f t="shared" si="11"/>
        <v>54949.67107</v>
      </c>
      <c r="O31" s="24">
        <v>45448.0</v>
      </c>
      <c r="P31" s="6">
        <f t="shared" si="12"/>
        <v>45448</v>
      </c>
      <c r="Q31" s="69">
        <f t="shared" si="13"/>
        <v>48463.38805</v>
      </c>
      <c r="R31" s="69">
        <f t="shared" si="14"/>
        <v>48483.8087</v>
      </c>
      <c r="S31" s="69">
        <f t="shared" si="15"/>
        <v>48504.22935</v>
      </c>
    </row>
    <row r="32">
      <c r="A32" s="24">
        <v>2.611606068E9</v>
      </c>
      <c r="B32" s="24" t="s">
        <v>69</v>
      </c>
      <c r="C32" s="24">
        <v>8476.0</v>
      </c>
      <c r="D32" s="69">
        <f t="shared" si="1"/>
        <v>8581.46239</v>
      </c>
      <c r="E32" s="69">
        <f t="shared" si="2"/>
        <v>8628.755664</v>
      </c>
      <c r="F32" s="69">
        <f t="shared" si="3"/>
        <v>8875.537435</v>
      </c>
      <c r="G32" s="69">
        <f t="shared" si="4"/>
        <v>8925.338812</v>
      </c>
      <c r="H32" s="69">
        <f t="shared" si="5"/>
        <v>8973.586496</v>
      </c>
      <c r="I32" s="69">
        <f t="shared" si="6"/>
        <v>9020.197254</v>
      </c>
      <c r="J32" s="69">
        <f t="shared" si="7"/>
        <v>9065.221028</v>
      </c>
      <c r="K32" s="69">
        <f t="shared" si="8"/>
        <v>9088.176826</v>
      </c>
      <c r="L32" s="69">
        <f t="shared" si="9"/>
        <v>9131.974293</v>
      </c>
      <c r="M32" s="69">
        <f t="shared" si="10"/>
        <v>9174.889484</v>
      </c>
      <c r="N32" s="69">
        <f t="shared" si="11"/>
        <v>9216.816971</v>
      </c>
      <c r="O32" s="24">
        <v>7664.0</v>
      </c>
      <c r="P32" s="6">
        <f t="shared" si="12"/>
        <v>7664</v>
      </c>
      <c r="Q32" s="69">
        <f t="shared" si="13"/>
        <v>8172.491771</v>
      </c>
      <c r="R32" s="69">
        <f t="shared" si="14"/>
        <v>8175.935352</v>
      </c>
      <c r="S32" s="69">
        <f t="shared" si="15"/>
        <v>8179.378932</v>
      </c>
    </row>
    <row r="33">
      <c r="A33" s="24">
        <v>2.611606047E9</v>
      </c>
      <c r="B33" s="24" t="s">
        <v>70</v>
      </c>
      <c r="C33" s="24">
        <v>4650.0</v>
      </c>
      <c r="D33" s="69">
        <f t="shared" si="1"/>
        <v>4707.857494</v>
      </c>
      <c r="E33" s="69">
        <f t="shared" si="2"/>
        <v>4733.802954</v>
      </c>
      <c r="F33" s="69">
        <f t="shared" si="3"/>
        <v>4869.189367</v>
      </c>
      <c r="G33" s="69">
        <f t="shared" si="4"/>
        <v>4896.510792</v>
      </c>
      <c r="H33" s="69">
        <f t="shared" si="5"/>
        <v>4922.97985</v>
      </c>
      <c r="I33" s="69">
        <f t="shared" si="6"/>
        <v>4948.550877</v>
      </c>
      <c r="J33" s="69">
        <f t="shared" si="7"/>
        <v>4973.251272</v>
      </c>
      <c r="K33" s="69">
        <f t="shared" si="8"/>
        <v>4985.845003</v>
      </c>
      <c r="L33" s="69">
        <f t="shared" si="9"/>
        <v>5009.872636</v>
      </c>
      <c r="M33" s="69">
        <f t="shared" si="10"/>
        <v>5033.416246</v>
      </c>
      <c r="N33" s="69">
        <f t="shared" si="11"/>
        <v>5056.417994</v>
      </c>
      <c r="O33" s="24">
        <v>4221.0</v>
      </c>
      <c r="P33" s="6">
        <f t="shared" si="12"/>
        <v>4221</v>
      </c>
      <c r="Q33" s="69">
        <f t="shared" si="13"/>
        <v>4501.055293</v>
      </c>
      <c r="R33" s="69">
        <f t="shared" si="14"/>
        <v>4502.951868</v>
      </c>
      <c r="S33" s="69">
        <f t="shared" si="15"/>
        <v>4504.848444</v>
      </c>
    </row>
    <row r="34">
      <c r="A34" s="24">
        <v>2.611606066E9</v>
      </c>
      <c r="B34" s="24" t="s">
        <v>71</v>
      </c>
      <c r="C34" s="24">
        <v>25389.0</v>
      </c>
      <c r="D34" s="69">
        <f t="shared" si="1"/>
        <v>25704.90191</v>
      </c>
      <c r="E34" s="69">
        <f t="shared" si="2"/>
        <v>25846.56413</v>
      </c>
      <c r="F34" s="69">
        <f t="shared" si="3"/>
        <v>26585.77394</v>
      </c>
      <c r="G34" s="69">
        <f t="shared" si="4"/>
        <v>26734.94892</v>
      </c>
      <c r="H34" s="69">
        <f t="shared" si="5"/>
        <v>26879.46998</v>
      </c>
      <c r="I34" s="69">
        <f t="shared" si="6"/>
        <v>27019.08779</v>
      </c>
      <c r="J34" s="69">
        <f t="shared" si="7"/>
        <v>27153.95194</v>
      </c>
      <c r="K34" s="69">
        <f t="shared" si="8"/>
        <v>27222.71371</v>
      </c>
      <c r="L34" s="69">
        <f t="shared" si="9"/>
        <v>27353.90459</v>
      </c>
      <c r="M34" s="69">
        <f t="shared" si="10"/>
        <v>27482.4527</v>
      </c>
      <c r="N34" s="69">
        <f t="shared" si="11"/>
        <v>27608.04225</v>
      </c>
      <c r="O34" s="24">
        <v>23074.0</v>
      </c>
      <c r="P34" s="6">
        <f t="shared" si="12"/>
        <v>23074</v>
      </c>
      <c r="Q34" s="69">
        <f t="shared" si="13"/>
        <v>24604.91586</v>
      </c>
      <c r="R34" s="69">
        <f t="shared" si="14"/>
        <v>24615.28344</v>
      </c>
      <c r="S34" s="69">
        <f t="shared" si="15"/>
        <v>24625.65103</v>
      </c>
    </row>
    <row r="35">
      <c r="A35" s="24">
        <v>2.611606041E9</v>
      </c>
      <c r="B35" s="24" t="s">
        <v>72</v>
      </c>
      <c r="C35" s="24">
        <v>11675.0</v>
      </c>
      <c r="D35" s="69">
        <f t="shared" si="1"/>
        <v>11820.26586</v>
      </c>
      <c r="E35" s="69">
        <f t="shared" si="2"/>
        <v>11885.40849</v>
      </c>
      <c r="F35" s="69">
        <f t="shared" si="3"/>
        <v>12225.33029</v>
      </c>
      <c r="G35" s="69">
        <f t="shared" si="4"/>
        <v>12293.92763</v>
      </c>
      <c r="H35" s="69">
        <f t="shared" si="5"/>
        <v>12360.38489</v>
      </c>
      <c r="I35" s="69">
        <f t="shared" si="6"/>
        <v>12424.58742</v>
      </c>
      <c r="J35" s="69">
        <f t="shared" si="7"/>
        <v>12486.604</v>
      </c>
      <c r="K35" s="69">
        <f t="shared" si="8"/>
        <v>12518.22374</v>
      </c>
      <c r="L35" s="69">
        <f t="shared" si="9"/>
        <v>12578.55119</v>
      </c>
      <c r="M35" s="69">
        <f t="shared" si="10"/>
        <v>12637.66337</v>
      </c>
      <c r="N35" s="69">
        <f t="shared" si="11"/>
        <v>12695.41507</v>
      </c>
      <c r="O35" s="24">
        <v>10620.0</v>
      </c>
      <c r="P35" s="6">
        <f t="shared" si="12"/>
        <v>10620</v>
      </c>
      <c r="Q35" s="69">
        <f t="shared" si="13"/>
        <v>11324.61673</v>
      </c>
      <c r="R35" s="69">
        <f t="shared" si="14"/>
        <v>11329.3885</v>
      </c>
      <c r="S35" s="69">
        <f t="shared" si="15"/>
        <v>11334.16026</v>
      </c>
    </row>
    <row r="36">
      <c r="A36" s="24">
        <v>2.611606094E9</v>
      </c>
      <c r="B36" s="24" t="s">
        <v>73</v>
      </c>
      <c r="C36" s="24">
        <v>18320.0</v>
      </c>
      <c r="D36" s="69">
        <f t="shared" si="1"/>
        <v>18547.94608</v>
      </c>
      <c r="E36" s="69">
        <f t="shared" si="2"/>
        <v>18650.16562</v>
      </c>
      <c r="F36" s="69">
        <f t="shared" si="3"/>
        <v>19183.55897</v>
      </c>
      <c r="G36" s="69">
        <f t="shared" si="4"/>
        <v>19291.19951</v>
      </c>
      <c r="H36" s="69">
        <f t="shared" si="5"/>
        <v>19395.4819</v>
      </c>
      <c r="I36" s="69">
        <f t="shared" si="6"/>
        <v>19496.22625</v>
      </c>
      <c r="J36" s="69">
        <f t="shared" si="7"/>
        <v>19593.54049</v>
      </c>
      <c r="K36" s="69">
        <f t="shared" si="8"/>
        <v>19643.15709</v>
      </c>
      <c r="L36" s="69">
        <f t="shared" si="9"/>
        <v>19737.82079</v>
      </c>
      <c r="M36" s="69">
        <f t="shared" si="10"/>
        <v>19830.57755</v>
      </c>
      <c r="N36" s="69">
        <f t="shared" si="11"/>
        <v>19921.19949</v>
      </c>
      <c r="O36" s="24">
        <v>16685.0</v>
      </c>
      <c r="P36" s="6">
        <f t="shared" si="12"/>
        <v>16685</v>
      </c>
      <c r="Q36" s="69">
        <f t="shared" si="13"/>
        <v>17792.0179</v>
      </c>
      <c r="R36" s="69">
        <f t="shared" si="14"/>
        <v>17799.51479</v>
      </c>
      <c r="S36" s="69">
        <f t="shared" si="15"/>
        <v>17807.01168</v>
      </c>
    </row>
    <row r="37">
      <c r="A37" s="24">
        <v>2.611606036E9</v>
      </c>
      <c r="B37" s="24" t="s">
        <v>74</v>
      </c>
      <c r="C37" s="24">
        <v>8472.0</v>
      </c>
      <c r="D37" s="69">
        <f t="shared" si="1"/>
        <v>8577.412621</v>
      </c>
      <c r="E37" s="69">
        <f t="shared" si="2"/>
        <v>8624.683575</v>
      </c>
      <c r="F37" s="69">
        <f t="shared" si="3"/>
        <v>8871.348885</v>
      </c>
      <c r="G37" s="69">
        <f t="shared" si="4"/>
        <v>8921.126759</v>
      </c>
      <c r="H37" s="69">
        <f t="shared" si="5"/>
        <v>8969.351674</v>
      </c>
      <c r="I37" s="69">
        <f t="shared" si="6"/>
        <v>9015.940436</v>
      </c>
      <c r="J37" s="69">
        <f t="shared" si="7"/>
        <v>9060.942962</v>
      </c>
      <c r="K37" s="69">
        <f t="shared" si="8"/>
        <v>9083.887927</v>
      </c>
      <c r="L37" s="69">
        <f t="shared" si="9"/>
        <v>9127.664725</v>
      </c>
      <c r="M37" s="69">
        <f t="shared" si="10"/>
        <v>9170.559664</v>
      </c>
      <c r="N37" s="69">
        <f t="shared" si="11"/>
        <v>9212.467365</v>
      </c>
      <c r="O37" s="24">
        <v>7728.0</v>
      </c>
      <c r="P37" s="6">
        <f t="shared" si="12"/>
        <v>7728</v>
      </c>
      <c r="Q37" s="69">
        <f t="shared" si="13"/>
        <v>8240.738049</v>
      </c>
      <c r="R37" s="69">
        <f t="shared" si="14"/>
        <v>8244.210386</v>
      </c>
      <c r="S37" s="69">
        <f t="shared" si="15"/>
        <v>8247.682723</v>
      </c>
    </row>
    <row r="38">
      <c r="A38" s="24">
        <v>2.611606054E9</v>
      </c>
      <c r="B38" s="24" t="s">
        <v>75</v>
      </c>
      <c r="C38" s="24">
        <v>7615.0</v>
      </c>
      <c r="D38" s="69">
        <f t="shared" si="1"/>
        <v>7709.749422</v>
      </c>
      <c r="E38" s="69">
        <f t="shared" si="2"/>
        <v>7752.238601</v>
      </c>
      <c r="F38" s="69">
        <f t="shared" si="3"/>
        <v>7973.952049</v>
      </c>
      <c r="G38" s="69">
        <f t="shared" si="4"/>
        <v>8018.694555</v>
      </c>
      <c r="H38" s="69">
        <f t="shared" si="5"/>
        <v>8062.041194</v>
      </c>
      <c r="I38" s="69">
        <f t="shared" si="6"/>
        <v>8103.917189</v>
      </c>
      <c r="J38" s="69">
        <f t="shared" si="7"/>
        <v>8144.367405</v>
      </c>
      <c r="K38" s="69">
        <f t="shared" si="8"/>
        <v>8164.991332</v>
      </c>
      <c r="L38" s="69">
        <f t="shared" si="9"/>
        <v>8204.339811</v>
      </c>
      <c r="M38" s="69">
        <f t="shared" si="10"/>
        <v>8242.895637</v>
      </c>
      <c r="N38" s="69">
        <f t="shared" si="11"/>
        <v>8280.564091</v>
      </c>
      <c r="O38" s="24">
        <v>6954.0</v>
      </c>
      <c r="P38" s="6">
        <f t="shared" si="12"/>
        <v>6954</v>
      </c>
      <c r="Q38" s="69">
        <f t="shared" si="13"/>
        <v>7415.384626</v>
      </c>
      <c r="R38" s="69">
        <f t="shared" si="14"/>
        <v>7418.509191</v>
      </c>
      <c r="S38" s="69">
        <f t="shared" si="15"/>
        <v>7421.633755</v>
      </c>
    </row>
    <row r="39">
      <c r="A39" s="24">
        <v>2.611606012E9</v>
      </c>
      <c r="B39" s="24" t="s">
        <v>76</v>
      </c>
      <c r="C39" s="24">
        <v>2037.0</v>
      </c>
      <c r="D39" s="69">
        <f t="shared" si="1"/>
        <v>2062.345315</v>
      </c>
      <c r="E39" s="69">
        <f t="shared" si="2"/>
        <v>2073.7111</v>
      </c>
      <c r="F39" s="69">
        <f t="shared" si="3"/>
        <v>2133.019084</v>
      </c>
      <c r="G39" s="69">
        <f t="shared" si="4"/>
        <v>2144.987631</v>
      </c>
      <c r="H39" s="69">
        <f t="shared" si="5"/>
        <v>2156.582786</v>
      </c>
      <c r="I39" s="69">
        <f t="shared" si="6"/>
        <v>2167.784545</v>
      </c>
      <c r="J39" s="69">
        <f t="shared" si="7"/>
        <v>2178.604912</v>
      </c>
      <c r="K39" s="69">
        <f t="shared" si="8"/>
        <v>2184.121779</v>
      </c>
      <c r="L39" s="69">
        <f t="shared" si="9"/>
        <v>2194.647432</v>
      </c>
      <c r="M39" s="69">
        <f t="shared" si="10"/>
        <v>2204.961052</v>
      </c>
      <c r="N39" s="69">
        <f t="shared" si="11"/>
        <v>2215.037302</v>
      </c>
      <c r="O39" s="63">
        <v>1867.0</v>
      </c>
      <c r="P39" s="6">
        <f t="shared" si="12"/>
        <v>1867</v>
      </c>
      <c r="Q39" s="69">
        <f t="shared" si="13"/>
        <v>1990.871886</v>
      </c>
      <c r="R39" s="69">
        <f t="shared" si="14"/>
        <v>1991.710765</v>
      </c>
      <c r="S39" s="69">
        <f t="shared" si="15"/>
        <v>1992.549643</v>
      </c>
    </row>
    <row r="40">
      <c r="A40" s="24">
        <v>2.611606052E9</v>
      </c>
      <c r="B40" s="24" t="s">
        <v>77</v>
      </c>
      <c r="C40" s="24">
        <v>12295.0</v>
      </c>
      <c r="D40" s="69">
        <f t="shared" si="1"/>
        <v>12447.98019</v>
      </c>
      <c r="E40" s="69">
        <f t="shared" si="2"/>
        <v>12516.58222</v>
      </c>
      <c r="F40" s="69">
        <f t="shared" si="3"/>
        <v>12874.55554</v>
      </c>
      <c r="G40" s="69">
        <f t="shared" si="4"/>
        <v>12946.79574</v>
      </c>
      <c r="H40" s="69">
        <f t="shared" si="5"/>
        <v>13016.7822</v>
      </c>
      <c r="I40" s="69">
        <f t="shared" si="6"/>
        <v>13084.3942</v>
      </c>
      <c r="J40" s="69">
        <f t="shared" si="7"/>
        <v>13149.70417</v>
      </c>
      <c r="K40" s="69">
        <f t="shared" si="8"/>
        <v>13183.00308</v>
      </c>
      <c r="L40" s="69">
        <f t="shared" si="9"/>
        <v>13246.53421</v>
      </c>
      <c r="M40" s="69">
        <f t="shared" si="10"/>
        <v>13308.78554</v>
      </c>
      <c r="N40" s="69">
        <f t="shared" si="11"/>
        <v>13369.60414</v>
      </c>
      <c r="O40" s="24">
        <v>11313.0</v>
      </c>
      <c r="P40" s="6">
        <f t="shared" si="12"/>
        <v>11313</v>
      </c>
      <c r="Q40" s="69">
        <f t="shared" si="13"/>
        <v>12063.59596</v>
      </c>
      <c r="R40" s="69">
        <f t="shared" si="14"/>
        <v>12068.6791</v>
      </c>
      <c r="S40" s="69">
        <f t="shared" si="15"/>
        <v>12073.76225</v>
      </c>
    </row>
    <row r="41">
      <c r="A41" s="24">
        <v>2.611606053E9</v>
      </c>
      <c r="B41" s="24" t="s">
        <v>78</v>
      </c>
      <c r="C41" s="24">
        <v>6947.0</v>
      </c>
      <c r="D41" s="69">
        <f t="shared" si="1"/>
        <v>7033.437851</v>
      </c>
      <c r="E41" s="69">
        <f t="shared" si="2"/>
        <v>7072.199811</v>
      </c>
      <c r="F41" s="69">
        <f t="shared" si="3"/>
        <v>7274.464201</v>
      </c>
      <c r="G41" s="69">
        <f t="shared" si="4"/>
        <v>7315.281822</v>
      </c>
      <c r="H41" s="69">
        <f t="shared" si="5"/>
        <v>7354.826025</v>
      </c>
      <c r="I41" s="69">
        <f t="shared" si="6"/>
        <v>7393.02859</v>
      </c>
      <c r="J41" s="69">
        <f t="shared" si="7"/>
        <v>7429.930448</v>
      </c>
      <c r="K41" s="69">
        <f t="shared" si="8"/>
        <v>7448.745211</v>
      </c>
      <c r="L41" s="69">
        <f t="shared" si="9"/>
        <v>7484.641979</v>
      </c>
      <c r="M41" s="69">
        <f t="shared" si="10"/>
        <v>7519.815626</v>
      </c>
      <c r="N41" s="69">
        <f t="shared" si="11"/>
        <v>7554.179743</v>
      </c>
      <c r="O41" s="24">
        <v>6397.0</v>
      </c>
      <c r="P41" s="6">
        <f t="shared" si="12"/>
        <v>6397</v>
      </c>
      <c r="Q41" s="69">
        <f t="shared" si="13"/>
        <v>6821.42874</v>
      </c>
      <c r="R41" s="69">
        <f t="shared" si="14"/>
        <v>6824.303033</v>
      </c>
      <c r="S41" s="69">
        <f t="shared" si="15"/>
        <v>6827.177327</v>
      </c>
    </row>
    <row r="42">
      <c r="A42" s="24">
        <v>2.61160606E9</v>
      </c>
      <c r="B42" s="24" t="s">
        <v>79</v>
      </c>
      <c r="C42" s="24">
        <v>40870.0</v>
      </c>
      <c r="D42" s="69">
        <f t="shared" si="1"/>
        <v>41378.52382</v>
      </c>
      <c r="E42" s="69">
        <f t="shared" si="2"/>
        <v>41606.56489</v>
      </c>
      <c r="F42" s="69">
        <f t="shared" si="3"/>
        <v>42796.50955</v>
      </c>
      <c r="G42" s="69">
        <f t="shared" si="4"/>
        <v>43036.64432</v>
      </c>
      <c r="H42" s="69">
        <f t="shared" si="5"/>
        <v>43269.28741</v>
      </c>
      <c r="I42" s="69">
        <f t="shared" si="6"/>
        <v>43494.03749</v>
      </c>
      <c r="J42" s="69">
        <f t="shared" si="7"/>
        <v>43711.13537</v>
      </c>
      <c r="K42" s="69">
        <f t="shared" si="8"/>
        <v>43821.82479</v>
      </c>
      <c r="L42" s="69">
        <f t="shared" si="9"/>
        <v>44033.0096</v>
      </c>
      <c r="M42" s="69">
        <f t="shared" si="10"/>
        <v>44239.94021</v>
      </c>
      <c r="N42" s="69">
        <f t="shared" si="11"/>
        <v>44442.10826</v>
      </c>
      <c r="O42" s="63">
        <v>37660.0</v>
      </c>
      <c r="P42" s="6">
        <f t="shared" si="12"/>
        <v>37660</v>
      </c>
      <c r="Q42" s="69">
        <f t="shared" si="13"/>
        <v>40158.66912</v>
      </c>
      <c r="R42" s="69">
        <f t="shared" si="14"/>
        <v>40175.59047</v>
      </c>
      <c r="S42" s="69">
        <f t="shared" si="15"/>
        <v>40192.51182</v>
      </c>
    </row>
    <row r="43">
      <c r="A43" s="24">
        <v>2.61160602E9</v>
      </c>
      <c r="B43" s="24" t="s">
        <v>80</v>
      </c>
      <c r="C43" s="24">
        <v>9484.0</v>
      </c>
      <c r="D43" s="69">
        <f t="shared" si="1"/>
        <v>9602.004402</v>
      </c>
      <c r="E43" s="69">
        <f t="shared" si="2"/>
        <v>9654.921982</v>
      </c>
      <c r="F43" s="69">
        <f t="shared" si="3"/>
        <v>9931.052034</v>
      </c>
      <c r="G43" s="69">
        <f t="shared" si="4"/>
        <v>9986.77599</v>
      </c>
      <c r="H43" s="69">
        <f t="shared" si="5"/>
        <v>10040.76148</v>
      </c>
      <c r="I43" s="69">
        <f t="shared" si="6"/>
        <v>10092.91538</v>
      </c>
      <c r="J43" s="69">
        <f t="shared" si="7"/>
        <v>10143.29356</v>
      </c>
      <c r="K43" s="69">
        <f t="shared" si="8"/>
        <v>10168.97936</v>
      </c>
      <c r="L43" s="69">
        <f t="shared" si="9"/>
        <v>10217.98539</v>
      </c>
      <c r="M43" s="69">
        <f t="shared" si="10"/>
        <v>10266.00423</v>
      </c>
      <c r="N43" s="69">
        <f t="shared" si="11"/>
        <v>10312.9179</v>
      </c>
      <c r="O43" s="24">
        <v>8757.0</v>
      </c>
      <c r="P43" s="6">
        <f t="shared" si="12"/>
        <v>8757</v>
      </c>
      <c r="Q43" s="69">
        <f t="shared" si="13"/>
        <v>9338.010235</v>
      </c>
      <c r="R43" s="69">
        <f t="shared" si="14"/>
        <v>9341.944921</v>
      </c>
      <c r="S43" s="69">
        <f t="shared" si="15"/>
        <v>9345.879607</v>
      </c>
    </row>
    <row r="44">
      <c r="A44" s="24">
        <v>2.611606087E9</v>
      </c>
      <c r="B44" s="24" t="s">
        <v>81</v>
      </c>
      <c r="C44" s="24">
        <v>67260.0</v>
      </c>
      <c r="D44" s="69">
        <f t="shared" si="1"/>
        <v>68096.88065</v>
      </c>
      <c r="E44" s="69">
        <f t="shared" si="2"/>
        <v>68472.16918</v>
      </c>
      <c r="F44" s="69">
        <f t="shared" si="3"/>
        <v>70430.46813</v>
      </c>
      <c r="G44" s="69">
        <f t="shared" si="4"/>
        <v>70825.65933</v>
      </c>
      <c r="H44" s="69">
        <f t="shared" si="5"/>
        <v>71208.52144</v>
      </c>
      <c r="I44" s="69">
        <f t="shared" si="6"/>
        <v>71578.39397</v>
      </c>
      <c r="J44" s="69">
        <f t="shared" si="7"/>
        <v>71935.67323</v>
      </c>
      <c r="K44" s="69">
        <f t="shared" si="8"/>
        <v>72117.83546</v>
      </c>
      <c r="L44" s="69">
        <f t="shared" si="9"/>
        <v>72465.38355</v>
      </c>
      <c r="M44" s="69">
        <f t="shared" si="10"/>
        <v>72805.93048</v>
      </c>
      <c r="N44" s="69">
        <f t="shared" si="11"/>
        <v>73138.63963</v>
      </c>
      <c r="O44" s="24">
        <v>62632.0</v>
      </c>
      <c r="P44" s="6">
        <f t="shared" si="12"/>
        <v>62632</v>
      </c>
      <c r="Q44" s="69">
        <f t="shared" si="13"/>
        <v>66787.51365</v>
      </c>
      <c r="R44" s="69">
        <f t="shared" si="14"/>
        <v>66815.6554</v>
      </c>
      <c r="S44" s="69">
        <f t="shared" si="15"/>
        <v>66843.79714</v>
      </c>
    </row>
    <row r="45">
      <c r="A45" s="24">
        <v>2.611606046E9</v>
      </c>
      <c r="B45" s="24" t="s">
        <v>82</v>
      </c>
      <c r="C45" s="24">
        <v>8286.0</v>
      </c>
      <c r="D45" s="69">
        <f t="shared" si="1"/>
        <v>8389.098321</v>
      </c>
      <c r="E45" s="69">
        <f t="shared" si="2"/>
        <v>8435.331457</v>
      </c>
      <c r="F45" s="69">
        <f t="shared" si="3"/>
        <v>8676.581311</v>
      </c>
      <c r="G45" s="69">
        <f t="shared" si="4"/>
        <v>8725.266328</v>
      </c>
      <c r="H45" s="69">
        <f t="shared" si="5"/>
        <v>8772.43248</v>
      </c>
      <c r="I45" s="69">
        <f t="shared" si="6"/>
        <v>8817.998401</v>
      </c>
      <c r="J45" s="69">
        <f t="shared" si="7"/>
        <v>8862.012911</v>
      </c>
      <c r="K45" s="69">
        <f t="shared" si="8"/>
        <v>8884.454127</v>
      </c>
      <c r="L45" s="69">
        <f t="shared" si="9"/>
        <v>8927.26982</v>
      </c>
      <c r="M45" s="69">
        <f t="shared" si="10"/>
        <v>8969.223014</v>
      </c>
      <c r="N45" s="69">
        <f t="shared" si="11"/>
        <v>9010.210645</v>
      </c>
      <c r="O45" s="24">
        <v>7738.0</v>
      </c>
      <c r="P45" s="6">
        <f t="shared" si="12"/>
        <v>7738</v>
      </c>
      <c r="Q45" s="69">
        <f t="shared" si="13"/>
        <v>8251.40153</v>
      </c>
      <c r="R45" s="69">
        <f t="shared" si="14"/>
        <v>8254.87836</v>
      </c>
      <c r="S45" s="69">
        <f t="shared" si="15"/>
        <v>8258.35519</v>
      </c>
    </row>
    <row r="46">
      <c r="A46" s="24">
        <v>2.611606055E9</v>
      </c>
      <c r="B46" s="24" t="s">
        <v>83</v>
      </c>
      <c r="C46" s="24">
        <v>6722.0</v>
      </c>
      <c r="D46" s="69">
        <f t="shared" si="1"/>
        <v>6805.638295</v>
      </c>
      <c r="E46" s="69">
        <f t="shared" si="2"/>
        <v>6843.144829</v>
      </c>
      <c r="F46" s="69">
        <f t="shared" si="3"/>
        <v>7038.858263</v>
      </c>
      <c r="G46" s="69">
        <f t="shared" si="4"/>
        <v>7078.35388</v>
      </c>
      <c r="H46" s="69">
        <f t="shared" si="5"/>
        <v>7116.617322</v>
      </c>
      <c r="I46" s="69">
        <f t="shared" si="6"/>
        <v>7153.582579</v>
      </c>
      <c r="J46" s="69">
        <f t="shared" si="7"/>
        <v>7189.289258</v>
      </c>
      <c r="K46" s="69">
        <f t="shared" si="8"/>
        <v>7207.494647</v>
      </c>
      <c r="L46" s="69">
        <f t="shared" si="9"/>
        <v>7242.228787</v>
      </c>
      <c r="M46" s="69">
        <f t="shared" si="10"/>
        <v>7276.263227</v>
      </c>
      <c r="N46" s="69">
        <f t="shared" si="11"/>
        <v>7309.514356</v>
      </c>
      <c r="O46" s="24">
        <v>6307.0</v>
      </c>
      <c r="P46" s="6">
        <f t="shared" si="12"/>
        <v>6307</v>
      </c>
      <c r="Q46" s="69">
        <f t="shared" si="13"/>
        <v>6725.457411</v>
      </c>
      <c r="R46" s="69">
        <f t="shared" si="14"/>
        <v>6728.291266</v>
      </c>
      <c r="S46" s="69">
        <f t="shared" si="15"/>
        <v>6731.125121</v>
      </c>
    </row>
    <row r="47">
      <c r="A47" s="24">
        <v>2.611606085E9</v>
      </c>
      <c r="B47" s="24" t="s">
        <v>84</v>
      </c>
      <c r="C47" s="24">
        <v>31598.0</v>
      </c>
      <c r="D47" s="69">
        <f t="shared" si="1"/>
        <v>31991.15722</v>
      </c>
      <c r="E47" s="69">
        <f t="shared" si="2"/>
        <v>32167.4636</v>
      </c>
      <c r="F47" s="69">
        <f t="shared" si="3"/>
        <v>33087.45067</v>
      </c>
      <c r="G47" s="69">
        <f t="shared" si="4"/>
        <v>33273.1071</v>
      </c>
      <c r="H47" s="69">
        <f t="shared" si="5"/>
        <v>33452.97146</v>
      </c>
      <c r="I47" s="69">
        <f t="shared" si="6"/>
        <v>33626.73346</v>
      </c>
      <c r="J47" s="69">
        <f t="shared" si="7"/>
        <v>33794.57929</v>
      </c>
      <c r="K47" s="69">
        <f t="shared" si="8"/>
        <v>33880.15707</v>
      </c>
      <c r="L47" s="69">
        <f t="shared" si="9"/>
        <v>34043.4313</v>
      </c>
      <c r="M47" s="69">
        <f t="shared" si="10"/>
        <v>34203.41646</v>
      </c>
      <c r="N47" s="69">
        <f t="shared" si="11"/>
        <v>34359.71952</v>
      </c>
      <c r="O47" s="24">
        <v>29996.0</v>
      </c>
      <c r="P47" s="6">
        <f t="shared" si="12"/>
        <v>29996</v>
      </c>
      <c r="Q47" s="69">
        <f t="shared" si="13"/>
        <v>31986.17734</v>
      </c>
      <c r="R47" s="69">
        <f t="shared" si="14"/>
        <v>31999.65512</v>
      </c>
      <c r="S47" s="69">
        <f t="shared" si="15"/>
        <v>32013.13289</v>
      </c>
    </row>
    <row r="48">
      <c r="A48" s="24">
        <v>2.611606018E9</v>
      </c>
      <c r="B48" s="24" t="s">
        <v>85</v>
      </c>
      <c r="C48" s="24">
        <v>13861.0</v>
      </c>
      <c r="D48" s="69">
        <f t="shared" si="1"/>
        <v>14033.4651</v>
      </c>
      <c r="E48" s="69">
        <f t="shared" si="2"/>
        <v>14110.80489</v>
      </c>
      <c r="F48" s="69">
        <f t="shared" si="3"/>
        <v>14514.37286</v>
      </c>
      <c r="G48" s="69">
        <f t="shared" si="4"/>
        <v>14595.81421</v>
      </c>
      <c r="H48" s="69">
        <f t="shared" si="5"/>
        <v>14674.71477</v>
      </c>
      <c r="I48" s="69">
        <f t="shared" si="6"/>
        <v>14750.93843</v>
      </c>
      <c r="J48" s="69">
        <f t="shared" si="7"/>
        <v>14824.56686</v>
      </c>
      <c r="K48" s="69">
        <f t="shared" si="8"/>
        <v>14862.10701</v>
      </c>
      <c r="L48" s="69">
        <f t="shared" si="9"/>
        <v>14933.73002</v>
      </c>
      <c r="M48" s="69">
        <f t="shared" si="10"/>
        <v>15003.91023</v>
      </c>
      <c r="N48" s="69">
        <f t="shared" si="11"/>
        <v>15072.47523</v>
      </c>
      <c r="O48" s="24">
        <v>13236.0</v>
      </c>
      <c r="P48" s="6">
        <f t="shared" si="12"/>
        <v>13236</v>
      </c>
      <c r="Q48" s="69">
        <f t="shared" si="13"/>
        <v>14114.18334</v>
      </c>
      <c r="R48" s="69">
        <f t="shared" si="14"/>
        <v>14120.13052</v>
      </c>
      <c r="S48" s="69">
        <f t="shared" si="15"/>
        <v>14126.07771</v>
      </c>
    </row>
    <row r="49">
      <c r="A49" s="24">
        <v>2.611606029E9</v>
      </c>
      <c r="B49" s="24" t="s">
        <v>86</v>
      </c>
      <c r="C49" s="24">
        <v>14867.0</v>
      </c>
      <c r="D49" s="69">
        <f t="shared" si="1"/>
        <v>15051.98223</v>
      </c>
      <c r="E49" s="69">
        <f t="shared" si="2"/>
        <v>15134.93516</v>
      </c>
      <c r="F49" s="69">
        <f t="shared" si="3"/>
        <v>15567.79319</v>
      </c>
      <c r="G49" s="69">
        <f t="shared" si="4"/>
        <v>15655.14536</v>
      </c>
      <c r="H49" s="69">
        <f t="shared" si="5"/>
        <v>15739.77235</v>
      </c>
      <c r="I49" s="69">
        <f t="shared" si="6"/>
        <v>15821.52815</v>
      </c>
      <c r="J49" s="69">
        <f t="shared" si="7"/>
        <v>15900.50036</v>
      </c>
      <c r="K49" s="69">
        <f t="shared" si="8"/>
        <v>15940.76509</v>
      </c>
      <c r="L49" s="69">
        <f t="shared" si="9"/>
        <v>16017.58634</v>
      </c>
      <c r="M49" s="69">
        <f t="shared" si="10"/>
        <v>16092.86007</v>
      </c>
      <c r="N49" s="69">
        <f t="shared" si="11"/>
        <v>16166.40136</v>
      </c>
      <c r="O49" s="24">
        <v>14202.0</v>
      </c>
      <c r="P49" s="6">
        <f t="shared" si="12"/>
        <v>14202</v>
      </c>
      <c r="Q49" s="69">
        <f t="shared" si="13"/>
        <v>15144.27559</v>
      </c>
      <c r="R49" s="69">
        <f t="shared" si="14"/>
        <v>15150.65682</v>
      </c>
      <c r="S49" s="69">
        <f t="shared" si="15"/>
        <v>15157.03805</v>
      </c>
    </row>
    <row r="50">
      <c r="A50" s="24">
        <v>2.611606028E9</v>
      </c>
      <c r="B50" s="24" t="s">
        <v>87</v>
      </c>
      <c r="C50" s="24">
        <v>32869.0</v>
      </c>
      <c r="D50" s="69">
        <f t="shared" si="1"/>
        <v>33277.9716</v>
      </c>
      <c r="E50" s="69">
        <f t="shared" si="2"/>
        <v>33461.36974</v>
      </c>
      <c r="F50" s="69">
        <f t="shared" si="3"/>
        <v>34418.36243</v>
      </c>
      <c r="G50" s="69">
        <f t="shared" si="4"/>
        <v>34611.48671</v>
      </c>
      <c r="H50" s="69">
        <f t="shared" si="5"/>
        <v>34798.58595</v>
      </c>
      <c r="I50" s="69">
        <f t="shared" si="6"/>
        <v>34979.33737</v>
      </c>
      <c r="J50" s="69">
        <f t="shared" si="7"/>
        <v>35153.93463</v>
      </c>
      <c r="K50" s="69">
        <f t="shared" si="8"/>
        <v>35242.95471</v>
      </c>
      <c r="L50" s="69">
        <f t="shared" si="9"/>
        <v>35412.79649</v>
      </c>
      <c r="M50" s="69">
        <f t="shared" si="10"/>
        <v>35579.2169</v>
      </c>
      <c r="N50" s="69">
        <f t="shared" si="11"/>
        <v>35741.80711</v>
      </c>
      <c r="O50" s="24">
        <v>31437.0</v>
      </c>
      <c r="P50" s="6">
        <f t="shared" si="12"/>
        <v>31437</v>
      </c>
      <c r="Q50" s="69">
        <f t="shared" si="13"/>
        <v>33522.78494</v>
      </c>
      <c r="R50" s="69">
        <f t="shared" si="14"/>
        <v>33536.91018</v>
      </c>
      <c r="S50" s="69">
        <f t="shared" si="15"/>
        <v>33551.03543</v>
      </c>
    </row>
    <row r="51">
      <c r="A51" s="24">
        <v>2.611606034E9</v>
      </c>
      <c r="B51" s="24" t="s">
        <v>88</v>
      </c>
      <c r="C51" s="24">
        <v>8120.0</v>
      </c>
      <c r="D51" s="69">
        <f t="shared" si="1"/>
        <v>8221.03287</v>
      </c>
      <c r="E51" s="69">
        <f t="shared" si="2"/>
        <v>8266.339782</v>
      </c>
      <c r="F51" s="69">
        <f t="shared" si="3"/>
        <v>8502.756486</v>
      </c>
      <c r="G51" s="69">
        <f t="shared" si="4"/>
        <v>8550.466157</v>
      </c>
      <c r="H51" s="69">
        <f t="shared" si="5"/>
        <v>8596.687393</v>
      </c>
      <c r="I51" s="69">
        <f t="shared" si="6"/>
        <v>8641.340456</v>
      </c>
      <c r="J51" s="69">
        <f t="shared" si="7"/>
        <v>8684.473188</v>
      </c>
      <c r="K51" s="69">
        <f t="shared" si="8"/>
        <v>8706.464822</v>
      </c>
      <c r="L51" s="69">
        <f t="shared" si="9"/>
        <v>8748.422753</v>
      </c>
      <c r="M51" s="69">
        <f t="shared" si="10"/>
        <v>8789.535466</v>
      </c>
      <c r="N51" s="69">
        <f t="shared" si="11"/>
        <v>8829.701959</v>
      </c>
      <c r="O51" s="24">
        <v>7793.0</v>
      </c>
      <c r="P51" s="6">
        <f t="shared" si="12"/>
        <v>7793</v>
      </c>
      <c r="Q51" s="69">
        <f t="shared" si="13"/>
        <v>8310.050675</v>
      </c>
      <c r="R51" s="69">
        <f t="shared" si="14"/>
        <v>8313.552218</v>
      </c>
      <c r="S51" s="69">
        <f t="shared" si="15"/>
        <v>8317.05376</v>
      </c>
    </row>
    <row r="52">
      <c r="A52" s="24">
        <v>2.611606086E9</v>
      </c>
      <c r="B52" s="24" t="s">
        <v>89</v>
      </c>
      <c r="C52" s="24">
        <v>31773.0</v>
      </c>
      <c r="D52" s="69">
        <f t="shared" si="1"/>
        <v>32168.33465</v>
      </c>
      <c r="E52" s="69">
        <f t="shared" si="2"/>
        <v>32345.61747</v>
      </c>
      <c r="F52" s="69">
        <f t="shared" si="3"/>
        <v>33270.69973</v>
      </c>
      <c r="G52" s="69">
        <f t="shared" si="4"/>
        <v>33457.38439</v>
      </c>
      <c r="H52" s="69">
        <f t="shared" si="5"/>
        <v>33638.24489</v>
      </c>
      <c r="I52" s="69">
        <f t="shared" si="6"/>
        <v>33812.96925</v>
      </c>
      <c r="J52" s="69">
        <f t="shared" si="7"/>
        <v>33981.74466</v>
      </c>
      <c r="K52" s="69">
        <f t="shared" si="8"/>
        <v>34067.7964</v>
      </c>
      <c r="L52" s="69">
        <f t="shared" si="9"/>
        <v>34231.97489</v>
      </c>
      <c r="M52" s="69">
        <f t="shared" si="10"/>
        <v>34392.8461</v>
      </c>
      <c r="N52" s="69">
        <f t="shared" si="11"/>
        <v>34550.01482</v>
      </c>
      <c r="O52" s="24">
        <v>30565.0</v>
      </c>
      <c r="P52" s="6">
        <f t="shared" si="12"/>
        <v>30565</v>
      </c>
      <c r="Q52" s="69">
        <f t="shared" si="13"/>
        <v>32592.92941</v>
      </c>
      <c r="R52" s="69">
        <f t="shared" si="14"/>
        <v>32606.66284</v>
      </c>
      <c r="S52" s="69">
        <f t="shared" si="15"/>
        <v>32620.39628</v>
      </c>
    </row>
    <row r="53">
      <c r="A53" s="24">
        <v>2.611606013E9</v>
      </c>
      <c r="B53" s="24" t="s">
        <v>90</v>
      </c>
      <c r="C53" s="24">
        <v>20462.0</v>
      </c>
      <c r="D53" s="69">
        <f t="shared" si="1"/>
        <v>20716.59786</v>
      </c>
      <c r="E53" s="69">
        <f t="shared" si="2"/>
        <v>20830.76904</v>
      </c>
      <c r="F53" s="69">
        <f t="shared" si="3"/>
        <v>21426.52749</v>
      </c>
      <c r="G53" s="69">
        <f t="shared" si="4"/>
        <v>21546.75351</v>
      </c>
      <c r="H53" s="69">
        <f t="shared" si="5"/>
        <v>21663.22875</v>
      </c>
      <c r="I53" s="69">
        <f t="shared" si="6"/>
        <v>21775.75227</v>
      </c>
      <c r="J53" s="69">
        <f t="shared" si="7"/>
        <v>21884.44463</v>
      </c>
      <c r="K53" s="69">
        <f t="shared" si="8"/>
        <v>21939.86246</v>
      </c>
      <c r="L53" s="69">
        <f t="shared" si="9"/>
        <v>22045.59438</v>
      </c>
      <c r="M53" s="69">
        <f t="shared" si="10"/>
        <v>22149.19639</v>
      </c>
      <c r="N53" s="69">
        <f t="shared" si="11"/>
        <v>22250.41398</v>
      </c>
      <c r="O53" s="24">
        <v>19694.0</v>
      </c>
      <c r="P53" s="6">
        <f t="shared" si="12"/>
        <v>19694</v>
      </c>
      <c r="Q53" s="69">
        <f t="shared" si="13"/>
        <v>21000.65931</v>
      </c>
      <c r="R53" s="69">
        <f t="shared" si="14"/>
        <v>21009.5082</v>
      </c>
      <c r="S53" s="69">
        <f t="shared" si="15"/>
        <v>21018.35708</v>
      </c>
    </row>
    <row r="54">
      <c r="A54" s="24">
        <v>2.611606071E9</v>
      </c>
      <c r="B54" s="24" t="s">
        <v>91</v>
      </c>
      <c r="C54" s="24">
        <v>51862.0</v>
      </c>
      <c r="D54" s="69">
        <f t="shared" si="1"/>
        <v>52507.29147</v>
      </c>
      <c r="E54" s="69">
        <f t="shared" si="2"/>
        <v>52796.66426</v>
      </c>
      <c r="F54" s="69">
        <f t="shared" si="3"/>
        <v>54306.64494</v>
      </c>
      <c r="G54" s="69">
        <f t="shared" si="4"/>
        <v>54611.36402</v>
      </c>
      <c r="H54" s="69">
        <f t="shared" si="5"/>
        <v>54906.57655</v>
      </c>
      <c r="I54" s="69">
        <f t="shared" si="6"/>
        <v>55191.77324</v>
      </c>
      <c r="J54" s="69">
        <f t="shared" si="7"/>
        <v>55467.25967</v>
      </c>
      <c r="K54" s="69">
        <f t="shared" si="8"/>
        <v>55607.71904</v>
      </c>
      <c r="L54" s="69">
        <f t="shared" si="9"/>
        <v>55875.70207</v>
      </c>
      <c r="M54" s="69">
        <f t="shared" si="10"/>
        <v>56138.28674</v>
      </c>
      <c r="N54" s="69">
        <f t="shared" si="11"/>
        <v>56394.82796</v>
      </c>
      <c r="O54" s="63">
        <v>49944.0</v>
      </c>
      <c r="P54" s="6">
        <f t="shared" si="12"/>
        <v>49944</v>
      </c>
      <c r="Q54" s="69">
        <f t="shared" si="13"/>
        <v>53257.68907</v>
      </c>
      <c r="R54" s="69">
        <f t="shared" si="14"/>
        <v>53280.12986</v>
      </c>
      <c r="S54" s="69">
        <f t="shared" si="15"/>
        <v>53302.57064</v>
      </c>
    </row>
    <row r="55">
      <c r="A55" s="24">
        <v>2.611606073E9</v>
      </c>
      <c r="B55" s="24" t="s">
        <v>92</v>
      </c>
      <c r="C55" s="24">
        <v>10203.0</v>
      </c>
      <c r="D55" s="69">
        <f t="shared" si="1"/>
        <v>10329.95054</v>
      </c>
      <c r="E55" s="69">
        <f t="shared" si="2"/>
        <v>10386.8799</v>
      </c>
      <c r="F55" s="69">
        <f t="shared" si="3"/>
        <v>10683.94389</v>
      </c>
      <c r="G55" s="69">
        <f t="shared" si="4"/>
        <v>10743.89239</v>
      </c>
      <c r="H55" s="69">
        <f t="shared" si="5"/>
        <v>10801.97062</v>
      </c>
      <c r="I55" s="69">
        <f t="shared" si="6"/>
        <v>10858.07841</v>
      </c>
      <c r="J55" s="69">
        <f t="shared" si="7"/>
        <v>10912.27585</v>
      </c>
      <c r="K55" s="69">
        <f t="shared" si="8"/>
        <v>10939.90894</v>
      </c>
      <c r="L55" s="69">
        <f t="shared" si="9"/>
        <v>10992.63022</v>
      </c>
      <c r="M55" s="69">
        <f t="shared" si="10"/>
        <v>11044.28945</v>
      </c>
      <c r="N55" s="69">
        <f t="shared" si="11"/>
        <v>11094.75974</v>
      </c>
      <c r="O55" s="24">
        <v>9849.0</v>
      </c>
      <c r="P55" s="6">
        <f t="shared" si="12"/>
        <v>9849</v>
      </c>
      <c r="Q55" s="69">
        <f t="shared" si="13"/>
        <v>10502.46235</v>
      </c>
      <c r="R55" s="69">
        <f t="shared" si="14"/>
        <v>10506.88769</v>
      </c>
      <c r="S55" s="69">
        <f t="shared" si="15"/>
        <v>10511.31304</v>
      </c>
    </row>
    <row r="56">
      <c r="A56" s="24">
        <v>2.611606009E9</v>
      </c>
      <c r="B56" s="24" t="s">
        <v>93</v>
      </c>
      <c r="C56" s="24">
        <v>12622.0</v>
      </c>
      <c r="D56" s="69">
        <f t="shared" si="1"/>
        <v>12779.04888</v>
      </c>
      <c r="E56" s="69">
        <f t="shared" si="2"/>
        <v>12849.47546</v>
      </c>
      <c r="F56" s="69">
        <f t="shared" si="3"/>
        <v>13216.9695</v>
      </c>
      <c r="G56" s="69">
        <f t="shared" si="4"/>
        <v>13291.13101</v>
      </c>
      <c r="H56" s="69">
        <f t="shared" si="5"/>
        <v>13362.97885</v>
      </c>
      <c r="I56" s="69">
        <f t="shared" si="6"/>
        <v>13432.38907</v>
      </c>
      <c r="J56" s="69">
        <f t="shared" si="7"/>
        <v>13499.43603</v>
      </c>
      <c r="K56" s="69">
        <f t="shared" si="8"/>
        <v>13533.62056</v>
      </c>
      <c r="L56" s="69">
        <f t="shared" si="9"/>
        <v>13598.84138</v>
      </c>
      <c r="M56" s="69">
        <f t="shared" si="10"/>
        <v>13662.74836</v>
      </c>
      <c r="N56" s="69">
        <f t="shared" si="11"/>
        <v>13725.1845</v>
      </c>
      <c r="O56" s="24">
        <v>12257.0</v>
      </c>
      <c r="P56" s="6">
        <f t="shared" si="12"/>
        <v>12257</v>
      </c>
      <c r="Q56" s="69">
        <f t="shared" si="13"/>
        <v>13070.22855</v>
      </c>
      <c r="R56" s="69">
        <f t="shared" si="14"/>
        <v>13075.73586</v>
      </c>
      <c r="S56" s="69">
        <f t="shared" si="15"/>
        <v>13081.24316</v>
      </c>
    </row>
    <row r="57">
      <c r="A57" s="24">
        <v>2.611606072E9</v>
      </c>
      <c r="B57" s="24" t="s">
        <v>94</v>
      </c>
      <c r="C57" s="24">
        <v>31991.0</v>
      </c>
      <c r="D57" s="69">
        <f t="shared" si="1"/>
        <v>32389.04711</v>
      </c>
      <c r="E57" s="69">
        <f t="shared" si="2"/>
        <v>32567.5463</v>
      </c>
      <c r="F57" s="69">
        <f t="shared" si="3"/>
        <v>33498.97571</v>
      </c>
      <c r="G57" s="69">
        <f t="shared" si="4"/>
        <v>33686.94124</v>
      </c>
      <c r="H57" s="69">
        <f t="shared" si="5"/>
        <v>33869.04266</v>
      </c>
      <c r="I57" s="69">
        <f t="shared" si="6"/>
        <v>34044.96583</v>
      </c>
      <c r="J57" s="69">
        <f t="shared" si="7"/>
        <v>34214.89923</v>
      </c>
      <c r="K57" s="69">
        <f t="shared" si="8"/>
        <v>34301.54139</v>
      </c>
      <c r="L57" s="69">
        <f t="shared" si="9"/>
        <v>34466.84634</v>
      </c>
      <c r="M57" s="69">
        <f t="shared" si="10"/>
        <v>34628.82132</v>
      </c>
      <c r="N57" s="69">
        <f t="shared" si="11"/>
        <v>34787.0684</v>
      </c>
      <c r="O57" s="24">
        <v>31130.0</v>
      </c>
      <c r="P57" s="6">
        <f t="shared" si="12"/>
        <v>31130</v>
      </c>
      <c r="Q57" s="69">
        <f t="shared" si="13"/>
        <v>33195.41608</v>
      </c>
      <c r="R57" s="69">
        <f t="shared" si="14"/>
        <v>33209.40338</v>
      </c>
      <c r="S57" s="69">
        <f t="shared" si="15"/>
        <v>33223.39068</v>
      </c>
    </row>
    <row r="58">
      <c r="A58" s="24">
        <v>2.611606002E9</v>
      </c>
      <c r="B58" s="24" t="s">
        <v>95</v>
      </c>
      <c r="C58" s="24">
        <v>27814.0</v>
      </c>
      <c r="D58" s="69">
        <f t="shared" si="1"/>
        <v>28160.07491</v>
      </c>
      <c r="E58" s="69">
        <f t="shared" si="2"/>
        <v>28315.26782</v>
      </c>
      <c r="F58" s="69">
        <f t="shared" si="3"/>
        <v>29125.08238</v>
      </c>
      <c r="G58" s="69">
        <f t="shared" si="4"/>
        <v>29288.50563</v>
      </c>
      <c r="H58" s="69">
        <f t="shared" si="5"/>
        <v>29446.83044</v>
      </c>
      <c r="I58" s="69">
        <f t="shared" si="6"/>
        <v>29599.78368</v>
      </c>
      <c r="J58" s="69">
        <f t="shared" si="7"/>
        <v>29747.52922</v>
      </c>
      <c r="K58" s="69">
        <f t="shared" si="8"/>
        <v>29822.85869</v>
      </c>
      <c r="L58" s="69">
        <f t="shared" si="9"/>
        <v>29966.58011</v>
      </c>
      <c r="M58" s="69">
        <f t="shared" si="10"/>
        <v>30107.40634</v>
      </c>
      <c r="N58" s="69">
        <f t="shared" si="11"/>
        <v>30244.99142</v>
      </c>
      <c r="O58" s="24">
        <v>27103.0</v>
      </c>
      <c r="P58" s="6">
        <f t="shared" si="12"/>
        <v>27103</v>
      </c>
      <c r="Q58" s="69">
        <f t="shared" si="13"/>
        <v>28901.23232</v>
      </c>
      <c r="R58" s="69">
        <f t="shared" si="14"/>
        <v>28913.41021</v>
      </c>
      <c r="S58" s="69">
        <f t="shared" si="15"/>
        <v>28925.5881</v>
      </c>
    </row>
    <row r="59">
      <c r="A59" s="24">
        <v>2.611606063E9</v>
      </c>
      <c r="B59" s="24" t="s">
        <v>96</v>
      </c>
      <c r="C59" s="24">
        <v>11680.0</v>
      </c>
      <c r="D59" s="69">
        <f t="shared" si="1"/>
        <v>11825.32807</v>
      </c>
      <c r="E59" s="69">
        <f t="shared" si="2"/>
        <v>11890.4986</v>
      </c>
      <c r="F59" s="69">
        <f t="shared" si="3"/>
        <v>12230.56598</v>
      </c>
      <c r="G59" s="69">
        <f t="shared" si="4"/>
        <v>12299.1927</v>
      </c>
      <c r="H59" s="69">
        <f t="shared" si="5"/>
        <v>12365.67842</v>
      </c>
      <c r="I59" s="69">
        <f t="shared" si="6"/>
        <v>12429.90844</v>
      </c>
      <c r="J59" s="69">
        <f t="shared" si="7"/>
        <v>12491.95158</v>
      </c>
      <c r="K59" s="69">
        <f t="shared" si="8"/>
        <v>12523.58487</v>
      </c>
      <c r="L59" s="69">
        <f t="shared" si="9"/>
        <v>12583.93815</v>
      </c>
      <c r="M59" s="69">
        <f t="shared" si="10"/>
        <v>12643.07565</v>
      </c>
      <c r="N59" s="69">
        <f t="shared" si="11"/>
        <v>12700.85208</v>
      </c>
      <c r="O59" s="24">
        <v>11412.0</v>
      </c>
      <c r="P59" s="6">
        <f t="shared" si="12"/>
        <v>11412</v>
      </c>
      <c r="Q59" s="69">
        <f t="shared" si="13"/>
        <v>12169.16442</v>
      </c>
      <c r="R59" s="69">
        <f t="shared" si="14"/>
        <v>12174.29205</v>
      </c>
      <c r="S59" s="69">
        <f t="shared" si="15"/>
        <v>12179.41967</v>
      </c>
    </row>
    <row r="60">
      <c r="A60" s="24">
        <v>2.611606088E9</v>
      </c>
      <c r="B60" s="24" t="s">
        <v>97</v>
      </c>
      <c r="C60" s="24">
        <v>20768.0</v>
      </c>
      <c r="D60" s="69">
        <f t="shared" si="1"/>
        <v>21026.40525</v>
      </c>
      <c r="E60" s="69">
        <f t="shared" si="2"/>
        <v>21142.28382</v>
      </c>
      <c r="F60" s="69">
        <f t="shared" si="3"/>
        <v>21746.95156</v>
      </c>
      <c r="G60" s="69">
        <f t="shared" si="4"/>
        <v>21868.97551</v>
      </c>
      <c r="H60" s="69">
        <f t="shared" si="5"/>
        <v>21987.19258</v>
      </c>
      <c r="I60" s="69">
        <f t="shared" si="6"/>
        <v>22101.39884</v>
      </c>
      <c r="J60" s="69">
        <f t="shared" si="7"/>
        <v>22211.71665</v>
      </c>
      <c r="K60" s="69">
        <f t="shared" si="8"/>
        <v>22267.96323</v>
      </c>
      <c r="L60" s="69">
        <f t="shared" si="9"/>
        <v>22375.27632</v>
      </c>
      <c r="M60" s="69">
        <f t="shared" si="10"/>
        <v>22480.42766</v>
      </c>
      <c r="N60" s="69">
        <f t="shared" si="11"/>
        <v>22583.1589</v>
      </c>
      <c r="O60" s="24">
        <v>20449.0</v>
      </c>
      <c r="P60" s="6">
        <f t="shared" si="12"/>
        <v>20449</v>
      </c>
      <c r="Q60" s="69">
        <f t="shared" si="13"/>
        <v>21805.75212</v>
      </c>
      <c r="R60" s="69">
        <f t="shared" si="14"/>
        <v>21814.94024</v>
      </c>
      <c r="S60" s="69">
        <f t="shared" si="15"/>
        <v>21824.12836</v>
      </c>
    </row>
    <row r="61">
      <c r="A61" s="24">
        <v>2.611606024E9</v>
      </c>
      <c r="B61" s="24" t="s">
        <v>98</v>
      </c>
      <c r="C61" s="24">
        <v>32113.0</v>
      </c>
      <c r="D61" s="69">
        <f t="shared" si="1"/>
        <v>32512.56509</v>
      </c>
      <c r="E61" s="69">
        <f t="shared" si="2"/>
        <v>32691.745</v>
      </c>
      <c r="F61" s="69">
        <f t="shared" si="3"/>
        <v>33626.72648</v>
      </c>
      <c r="G61" s="69">
        <f t="shared" si="4"/>
        <v>33815.40883</v>
      </c>
      <c r="H61" s="69">
        <f t="shared" si="5"/>
        <v>33998.20471</v>
      </c>
      <c r="I61" s="69">
        <f t="shared" si="6"/>
        <v>34174.79878</v>
      </c>
      <c r="J61" s="69">
        <f t="shared" si="7"/>
        <v>34345.38023</v>
      </c>
      <c r="K61" s="69">
        <f t="shared" si="8"/>
        <v>34432.35281</v>
      </c>
      <c r="L61" s="69">
        <f t="shared" si="9"/>
        <v>34598.28816</v>
      </c>
      <c r="M61" s="69">
        <f t="shared" si="10"/>
        <v>34760.88084</v>
      </c>
      <c r="N61" s="69">
        <f t="shared" si="11"/>
        <v>34919.73141</v>
      </c>
      <c r="O61" s="24">
        <v>31783.0</v>
      </c>
      <c r="P61" s="6">
        <f t="shared" si="12"/>
        <v>31783</v>
      </c>
      <c r="Q61" s="69">
        <f t="shared" si="13"/>
        <v>33891.74138</v>
      </c>
      <c r="R61" s="69">
        <f t="shared" si="14"/>
        <v>33906.02209</v>
      </c>
      <c r="S61" s="69">
        <f t="shared" si="15"/>
        <v>33920.30279</v>
      </c>
    </row>
    <row r="62">
      <c r="A62" s="24">
        <v>2.611606044E9</v>
      </c>
      <c r="B62" s="24" t="s">
        <v>99</v>
      </c>
      <c r="C62" s="24">
        <v>20304.0</v>
      </c>
      <c r="D62" s="69">
        <f t="shared" si="1"/>
        <v>20556.63195</v>
      </c>
      <c r="E62" s="69">
        <f t="shared" si="2"/>
        <v>20669.92154</v>
      </c>
      <c r="F62" s="69">
        <f t="shared" si="3"/>
        <v>21261.07977</v>
      </c>
      <c r="G62" s="69">
        <f t="shared" si="4"/>
        <v>21380.37745</v>
      </c>
      <c r="H62" s="69">
        <f t="shared" si="5"/>
        <v>21495.9533</v>
      </c>
      <c r="I62" s="69">
        <f t="shared" si="6"/>
        <v>21607.60796</v>
      </c>
      <c r="J62" s="69">
        <f t="shared" si="7"/>
        <v>21715.46104</v>
      </c>
      <c r="K62" s="69">
        <f t="shared" si="8"/>
        <v>21770.45095</v>
      </c>
      <c r="L62" s="69">
        <f t="shared" si="9"/>
        <v>21875.36645</v>
      </c>
      <c r="M62" s="69">
        <f t="shared" si="10"/>
        <v>21978.16849</v>
      </c>
      <c r="N62" s="69">
        <f t="shared" si="11"/>
        <v>22078.60451</v>
      </c>
      <c r="O62" s="24">
        <v>20126.0</v>
      </c>
      <c r="P62" s="6">
        <f t="shared" si="12"/>
        <v>20126</v>
      </c>
      <c r="Q62" s="69">
        <f t="shared" si="13"/>
        <v>21461.32168</v>
      </c>
      <c r="R62" s="69">
        <f t="shared" si="14"/>
        <v>21470.36468</v>
      </c>
      <c r="S62" s="69">
        <f t="shared" si="15"/>
        <v>21479.40767</v>
      </c>
    </row>
    <row r="63">
      <c r="A63" s="24">
        <v>2.611606007E9</v>
      </c>
      <c r="B63" s="24" t="s">
        <v>100</v>
      </c>
      <c r="C63" s="24">
        <v>998.0</v>
      </c>
      <c r="D63" s="69">
        <f t="shared" si="1"/>
        <v>1010.417587</v>
      </c>
      <c r="E63" s="69">
        <f t="shared" si="2"/>
        <v>1015.986096</v>
      </c>
      <c r="F63" s="69">
        <f t="shared" si="3"/>
        <v>1045.043223</v>
      </c>
      <c r="G63" s="69">
        <f t="shared" si="4"/>
        <v>1050.907047</v>
      </c>
      <c r="H63" s="69">
        <f t="shared" si="5"/>
        <v>1056.587933</v>
      </c>
      <c r="I63" s="69">
        <f t="shared" si="6"/>
        <v>1062.076081</v>
      </c>
      <c r="J63" s="69">
        <f t="shared" si="7"/>
        <v>1067.37737</v>
      </c>
      <c r="K63" s="69">
        <f t="shared" si="8"/>
        <v>1070.080282</v>
      </c>
      <c r="L63" s="69">
        <f t="shared" si="9"/>
        <v>1075.237181</v>
      </c>
      <c r="M63" s="69">
        <f t="shared" si="10"/>
        <v>1080.290196</v>
      </c>
      <c r="N63" s="69">
        <f t="shared" si="11"/>
        <v>1085.226916</v>
      </c>
      <c r="O63" s="24">
        <v>990.0</v>
      </c>
      <c r="P63" s="6">
        <f t="shared" si="12"/>
        <v>990</v>
      </c>
      <c r="Q63" s="69">
        <f t="shared" si="13"/>
        <v>1055.68461</v>
      </c>
      <c r="R63" s="69">
        <f t="shared" si="14"/>
        <v>1056.129436</v>
      </c>
      <c r="S63" s="69">
        <f t="shared" si="15"/>
        <v>1056.574262</v>
      </c>
    </row>
    <row r="64">
      <c r="A64" s="24">
        <v>2.611606093E9</v>
      </c>
      <c r="B64" s="24" t="s">
        <v>101</v>
      </c>
      <c r="C64" s="24">
        <v>29153.0</v>
      </c>
      <c r="D64" s="69">
        <f t="shared" si="1"/>
        <v>29515.73538</v>
      </c>
      <c r="E64" s="69">
        <f t="shared" si="2"/>
        <v>29678.39947</v>
      </c>
      <c r="F64" s="69">
        <f t="shared" si="3"/>
        <v>30527.19949</v>
      </c>
      <c r="G64" s="69">
        <f t="shared" si="4"/>
        <v>30698.49013</v>
      </c>
      <c r="H64" s="69">
        <f t="shared" si="5"/>
        <v>30864.43689</v>
      </c>
      <c r="I64" s="69">
        <f t="shared" si="6"/>
        <v>31024.75349</v>
      </c>
      <c r="J64" s="69">
        <f t="shared" si="7"/>
        <v>31179.61168</v>
      </c>
      <c r="K64" s="69">
        <f t="shared" si="8"/>
        <v>31258.5676</v>
      </c>
      <c r="L64" s="69">
        <f t="shared" si="9"/>
        <v>31409.20795</v>
      </c>
      <c r="M64" s="69">
        <f t="shared" si="10"/>
        <v>31556.81372</v>
      </c>
      <c r="N64" s="69">
        <f t="shared" si="11"/>
        <v>31701.02232</v>
      </c>
      <c r="O64" s="24">
        <v>29195.0</v>
      </c>
      <c r="P64" s="6">
        <f t="shared" si="12"/>
        <v>29195</v>
      </c>
      <c r="Q64" s="69">
        <f t="shared" si="13"/>
        <v>31132.03252</v>
      </c>
      <c r="R64" s="69">
        <f t="shared" si="14"/>
        <v>31145.15039</v>
      </c>
      <c r="S64" s="69">
        <f t="shared" si="15"/>
        <v>31158.26826</v>
      </c>
    </row>
    <row r="65">
      <c r="A65" s="24">
        <v>2.611606069E9</v>
      </c>
      <c r="B65" s="24" t="s">
        <v>102</v>
      </c>
      <c r="C65" s="24">
        <v>70283.0</v>
      </c>
      <c r="D65" s="69">
        <f t="shared" si="1"/>
        <v>71157.49424</v>
      </c>
      <c r="E65" s="69">
        <f t="shared" si="2"/>
        <v>71549.65011</v>
      </c>
      <c r="F65" s="69">
        <f t="shared" si="3"/>
        <v>73595.96479</v>
      </c>
      <c r="G65" s="69">
        <f t="shared" si="4"/>
        <v>74008.91785</v>
      </c>
      <c r="H65" s="69">
        <f t="shared" si="5"/>
        <v>74408.98769</v>
      </c>
      <c r="I65" s="69">
        <f t="shared" si="6"/>
        <v>74795.48415</v>
      </c>
      <c r="J65" s="69">
        <f t="shared" si="7"/>
        <v>75168.82132</v>
      </c>
      <c r="K65" s="69">
        <f t="shared" si="8"/>
        <v>75359.17082</v>
      </c>
      <c r="L65" s="69">
        <f t="shared" si="9"/>
        <v>75722.33946</v>
      </c>
      <c r="M65" s="69">
        <f t="shared" si="10"/>
        <v>76078.19226</v>
      </c>
      <c r="N65" s="69">
        <f t="shared" si="11"/>
        <v>76425.85503</v>
      </c>
      <c r="O65" s="24">
        <v>70946.0</v>
      </c>
      <c r="P65" s="6">
        <f t="shared" si="12"/>
        <v>70946</v>
      </c>
      <c r="Q65" s="69">
        <f t="shared" si="13"/>
        <v>75653.13168</v>
      </c>
      <c r="R65" s="69">
        <f t="shared" si="14"/>
        <v>75685.00906</v>
      </c>
      <c r="S65" s="69">
        <f t="shared" si="15"/>
        <v>75716.88645</v>
      </c>
    </row>
    <row r="66">
      <c r="A66" s="24">
        <v>2.61160608E9</v>
      </c>
      <c r="B66" s="24" t="s">
        <v>103</v>
      </c>
      <c r="C66" s="24">
        <v>16194.0</v>
      </c>
      <c r="D66" s="69">
        <f t="shared" si="1"/>
        <v>16395.49339</v>
      </c>
      <c r="E66" s="69">
        <f t="shared" si="2"/>
        <v>16485.85055</v>
      </c>
      <c r="F66" s="69">
        <f t="shared" si="3"/>
        <v>16957.34465</v>
      </c>
      <c r="G66" s="69">
        <f t="shared" si="4"/>
        <v>17052.49371</v>
      </c>
      <c r="H66" s="69">
        <f t="shared" si="5"/>
        <v>17144.67434</v>
      </c>
      <c r="I66" s="69">
        <f t="shared" si="6"/>
        <v>17233.72751</v>
      </c>
      <c r="J66" s="69">
        <f t="shared" si="7"/>
        <v>17319.74862</v>
      </c>
      <c r="K66" s="69">
        <f t="shared" si="8"/>
        <v>17363.60731</v>
      </c>
      <c r="L66" s="69">
        <f t="shared" si="9"/>
        <v>17447.28548</v>
      </c>
      <c r="M66" s="69">
        <f t="shared" si="10"/>
        <v>17529.278</v>
      </c>
      <c r="N66" s="69">
        <f t="shared" si="11"/>
        <v>17609.38344</v>
      </c>
      <c r="O66" s="63">
        <v>16559.0</v>
      </c>
      <c r="P66" s="6">
        <f t="shared" si="12"/>
        <v>16559</v>
      </c>
      <c r="Q66" s="69">
        <f t="shared" si="13"/>
        <v>17657.65804</v>
      </c>
      <c r="R66" s="69">
        <f t="shared" si="14"/>
        <v>17665.09832</v>
      </c>
      <c r="S66" s="69">
        <f t="shared" si="15"/>
        <v>17672.53859</v>
      </c>
    </row>
    <row r="67">
      <c r="A67" s="24">
        <v>2.611606092E9</v>
      </c>
      <c r="B67" s="24" t="s">
        <v>104</v>
      </c>
      <c r="C67" s="24">
        <v>122689.0</v>
      </c>
      <c r="D67" s="69">
        <f t="shared" si="1"/>
        <v>124215.5544</v>
      </c>
      <c r="E67" s="69">
        <f t="shared" si="2"/>
        <v>124900.1184</v>
      </c>
      <c r="F67" s="69">
        <f t="shared" si="3"/>
        <v>128472.2525</v>
      </c>
      <c r="G67" s="69">
        <f t="shared" si="4"/>
        <v>129193.121</v>
      </c>
      <c r="H67" s="69">
        <f t="shared" si="5"/>
        <v>129891.4999</v>
      </c>
      <c r="I67" s="69">
        <f t="shared" si="6"/>
        <v>130566.1846</v>
      </c>
      <c r="J67" s="69">
        <f t="shared" si="7"/>
        <v>131217.8979</v>
      </c>
      <c r="K67" s="69">
        <f t="shared" si="8"/>
        <v>131550.1801</v>
      </c>
      <c r="L67" s="69">
        <f t="shared" si="9"/>
        <v>132184.1428</v>
      </c>
      <c r="M67" s="69">
        <f t="shared" si="10"/>
        <v>132805.3346</v>
      </c>
      <c r="N67" s="69">
        <f t="shared" si="11"/>
        <v>133412.2295</v>
      </c>
      <c r="O67" s="24">
        <v>125805.0</v>
      </c>
      <c r="P67" s="6">
        <f t="shared" si="12"/>
        <v>125805</v>
      </c>
      <c r="Q67" s="69">
        <f t="shared" si="13"/>
        <v>134151.9216</v>
      </c>
      <c r="R67" s="69">
        <f t="shared" si="14"/>
        <v>134208.4482</v>
      </c>
      <c r="S67" s="69">
        <f t="shared" si="15"/>
        <v>134264.9748</v>
      </c>
    </row>
    <row r="68">
      <c r="A68" s="24">
        <v>2.611606016E9</v>
      </c>
      <c r="B68" s="24" t="s">
        <v>105</v>
      </c>
      <c r="C68" s="24">
        <v>10399.0</v>
      </c>
      <c r="D68" s="69">
        <f t="shared" si="1"/>
        <v>10528.38926</v>
      </c>
      <c r="E68" s="69">
        <f t="shared" si="2"/>
        <v>10586.41224</v>
      </c>
      <c r="F68" s="69">
        <f t="shared" si="3"/>
        <v>10889.18284</v>
      </c>
      <c r="G68" s="69">
        <f t="shared" si="4"/>
        <v>10950.28295</v>
      </c>
      <c r="H68" s="69">
        <f t="shared" si="5"/>
        <v>11009.47687</v>
      </c>
      <c r="I68" s="69">
        <f t="shared" si="6"/>
        <v>11066.66249</v>
      </c>
      <c r="J68" s="69">
        <f t="shared" si="7"/>
        <v>11121.90107</v>
      </c>
      <c r="K68" s="69">
        <f t="shared" si="8"/>
        <v>11150.06499</v>
      </c>
      <c r="L68" s="69">
        <f t="shared" si="9"/>
        <v>11203.79904</v>
      </c>
      <c r="M68" s="69">
        <f t="shared" si="10"/>
        <v>11256.45065</v>
      </c>
      <c r="N68" s="69">
        <f t="shared" si="11"/>
        <v>11307.89048</v>
      </c>
      <c r="O68" s="24">
        <v>10741.0</v>
      </c>
      <c r="P68" s="6">
        <f t="shared" si="12"/>
        <v>10741</v>
      </c>
      <c r="Q68" s="69">
        <f t="shared" si="13"/>
        <v>11453.64485</v>
      </c>
      <c r="R68" s="69">
        <f t="shared" si="14"/>
        <v>11458.47098</v>
      </c>
      <c r="S68" s="69">
        <f t="shared" si="15"/>
        <v>11463.29712</v>
      </c>
    </row>
    <row r="69">
      <c r="A69" s="24">
        <v>2.611606011E9</v>
      </c>
      <c r="B69" s="24" t="s">
        <v>106</v>
      </c>
      <c r="C69" s="24">
        <v>8533.0</v>
      </c>
      <c r="D69" s="69">
        <f t="shared" si="1"/>
        <v>8639.171611</v>
      </c>
      <c r="E69" s="69">
        <f t="shared" si="2"/>
        <v>8686.782926</v>
      </c>
      <c r="F69" s="69">
        <f t="shared" si="3"/>
        <v>8935.224273</v>
      </c>
      <c r="G69" s="69">
        <f t="shared" si="4"/>
        <v>8985.360557</v>
      </c>
      <c r="H69" s="69">
        <f t="shared" si="5"/>
        <v>9033.9327</v>
      </c>
      <c r="I69" s="69">
        <f t="shared" si="6"/>
        <v>9080.85691</v>
      </c>
      <c r="J69" s="69">
        <f t="shared" si="7"/>
        <v>9126.183463</v>
      </c>
      <c r="K69" s="69">
        <f t="shared" si="8"/>
        <v>9149.293636</v>
      </c>
      <c r="L69" s="69">
        <f t="shared" si="9"/>
        <v>9193.385635</v>
      </c>
      <c r="M69" s="69">
        <f t="shared" si="10"/>
        <v>9236.589425</v>
      </c>
      <c r="N69" s="69">
        <f t="shared" si="11"/>
        <v>9278.798869</v>
      </c>
      <c r="O69" s="24">
        <v>8876.0</v>
      </c>
      <c r="P69" s="6">
        <f t="shared" si="12"/>
        <v>8876</v>
      </c>
      <c r="Q69" s="69">
        <f t="shared" si="13"/>
        <v>9464.905658</v>
      </c>
      <c r="R69" s="69">
        <f t="shared" si="14"/>
        <v>9468.893813</v>
      </c>
      <c r="S69" s="69">
        <f t="shared" si="15"/>
        <v>9472.881968</v>
      </c>
    </row>
    <row r="70">
      <c r="A70" s="24">
        <v>2.611606003E9</v>
      </c>
      <c r="B70" s="24" t="s">
        <v>107</v>
      </c>
      <c r="C70" s="24">
        <v>12573.0</v>
      </c>
      <c r="D70" s="69">
        <f t="shared" si="1"/>
        <v>12729.4392</v>
      </c>
      <c r="E70" s="69">
        <f t="shared" si="2"/>
        <v>12799.59237</v>
      </c>
      <c r="F70" s="69">
        <f t="shared" si="3"/>
        <v>13165.65977</v>
      </c>
      <c r="G70" s="69">
        <f t="shared" si="4"/>
        <v>13239.53337</v>
      </c>
      <c r="H70" s="69">
        <f t="shared" si="5"/>
        <v>13311.10229</v>
      </c>
      <c r="I70" s="69">
        <f t="shared" si="6"/>
        <v>13380.24305</v>
      </c>
      <c r="J70" s="69">
        <f t="shared" si="7"/>
        <v>13447.02973</v>
      </c>
      <c r="K70" s="69">
        <f t="shared" si="8"/>
        <v>13481.08155</v>
      </c>
      <c r="L70" s="69">
        <f t="shared" si="9"/>
        <v>13546.04917</v>
      </c>
      <c r="M70" s="69">
        <f t="shared" si="10"/>
        <v>13609.70806</v>
      </c>
      <c r="N70" s="69">
        <f t="shared" si="11"/>
        <v>13671.90181</v>
      </c>
      <c r="O70" s="24">
        <v>13147.0</v>
      </c>
      <c r="P70" s="6">
        <f t="shared" si="12"/>
        <v>13147</v>
      </c>
      <c r="Q70" s="69">
        <f t="shared" si="13"/>
        <v>14019.27836</v>
      </c>
      <c r="R70" s="69">
        <f t="shared" si="14"/>
        <v>14025.18555</v>
      </c>
      <c r="S70" s="69">
        <f t="shared" si="15"/>
        <v>14031.09275</v>
      </c>
    </row>
    <row r="71">
      <c r="A71" s="24">
        <v>2.611606064E9</v>
      </c>
      <c r="B71" s="24" t="s">
        <v>108</v>
      </c>
      <c r="C71" s="24">
        <v>3734.0</v>
      </c>
      <c r="D71" s="69">
        <f t="shared" si="1"/>
        <v>3780.460189</v>
      </c>
      <c r="E71" s="69">
        <f t="shared" si="2"/>
        <v>3801.294673</v>
      </c>
      <c r="F71" s="69">
        <f t="shared" si="3"/>
        <v>3910.011419</v>
      </c>
      <c r="G71" s="69">
        <f t="shared" si="4"/>
        <v>3931.950817</v>
      </c>
      <c r="H71" s="69">
        <f t="shared" si="5"/>
        <v>3953.205754</v>
      </c>
      <c r="I71" s="69">
        <f t="shared" si="6"/>
        <v>3973.739564</v>
      </c>
      <c r="J71" s="69">
        <f t="shared" si="7"/>
        <v>3993.574247</v>
      </c>
      <c r="K71" s="69">
        <f t="shared" si="8"/>
        <v>4003.687148</v>
      </c>
      <c r="L71" s="69">
        <f t="shared" si="9"/>
        <v>4022.981596</v>
      </c>
      <c r="M71" s="69">
        <f t="shared" si="10"/>
        <v>4041.887368</v>
      </c>
      <c r="N71" s="69">
        <f t="shared" si="11"/>
        <v>4060.358019</v>
      </c>
      <c r="O71" s="24">
        <v>3946.0</v>
      </c>
      <c r="P71" s="6">
        <f t="shared" si="12"/>
        <v>3946</v>
      </c>
      <c r="Q71" s="69">
        <f t="shared" si="13"/>
        <v>4207.809568</v>
      </c>
      <c r="R71" s="69">
        <f t="shared" si="14"/>
        <v>4209.582581</v>
      </c>
      <c r="S71" s="69">
        <f t="shared" si="15"/>
        <v>4211.355593</v>
      </c>
    </row>
    <row r="72">
      <c r="A72" s="24">
        <v>2.611606091E9</v>
      </c>
      <c r="B72" s="24" t="s">
        <v>109</v>
      </c>
      <c r="C72" s="24">
        <v>48488.0</v>
      </c>
      <c r="D72" s="69">
        <f t="shared" si="1"/>
        <v>49091.31057</v>
      </c>
      <c r="E72" s="69">
        <f t="shared" si="2"/>
        <v>49361.85755</v>
      </c>
      <c r="F72" s="69">
        <f t="shared" si="3"/>
        <v>50773.60302</v>
      </c>
      <c r="G72" s="69">
        <f t="shared" si="4"/>
        <v>51058.49791</v>
      </c>
      <c r="H72" s="69">
        <f t="shared" si="5"/>
        <v>51334.50472</v>
      </c>
      <c r="I72" s="69">
        <f t="shared" si="6"/>
        <v>51601.14729</v>
      </c>
      <c r="J72" s="69">
        <f t="shared" si="7"/>
        <v>51858.71132</v>
      </c>
      <c r="K72" s="69">
        <f t="shared" si="8"/>
        <v>51990.03279</v>
      </c>
      <c r="L72" s="69">
        <f t="shared" si="9"/>
        <v>52240.58158</v>
      </c>
      <c r="M72" s="69">
        <f t="shared" si="10"/>
        <v>52486.08321</v>
      </c>
      <c r="N72" s="69">
        <f t="shared" si="11"/>
        <v>52725.93456</v>
      </c>
      <c r="O72" s="24">
        <v>52158.0</v>
      </c>
      <c r="P72" s="6">
        <f t="shared" si="12"/>
        <v>52158</v>
      </c>
      <c r="Q72" s="69">
        <f t="shared" si="13"/>
        <v>55618.58374</v>
      </c>
      <c r="R72" s="69">
        <f t="shared" si="14"/>
        <v>55642.01932</v>
      </c>
      <c r="S72" s="69">
        <f t="shared" si="15"/>
        <v>55665.4549</v>
      </c>
    </row>
    <row r="73">
      <c r="A73" s="24">
        <v>2.611606039E9</v>
      </c>
      <c r="B73" s="24" t="s">
        <v>110</v>
      </c>
      <c r="C73" s="24">
        <v>7275.0</v>
      </c>
      <c r="D73" s="69">
        <f t="shared" si="1"/>
        <v>7365.518982</v>
      </c>
      <c r="E73" s="69">
        <f t="shared" si="2"/>
        <v>7406.111073</v>
      </c>
      <c r="F73" s="69">
        <f t="shared" si="3"/>
        <v>7617.9253</v>
      </c>
      <c r="G73" s="69">
        <f t="shared" si="4"/>
        <v>7660.67011</v>
      </c>
      <c r="H73" s="69">
        <f t="shared" si="5"/>
        <v>7702.081378</v>
      </c>
      <c r="I73" s="69">
        <f t="shared" si="6"/>
        <v>7742.087662</v>
      </c>
      <c r="J73" s="69">
        <f t="shared" si="7"/>
        <v>7780.731828</v>
      </c>
      <c r="K73" s="69">
        <f t="shared" si="8"/>
        <v>7800.434924</v>
      </c>
      <c r="L73" s="69">
        <f t="shared" si="9"/>
        <v>7838.026543</v>
      </c>
      <c r="M73" s="69">
        <f t="shared" si="10"/>
        <v>7874.860901</v>
      </c>
      <c r="N73" s="69">
        <f t="shared" si="11"/>
        <v>7910.847507</v>
      </c>
      <c r="O73" s="24">
        <v>7996.0</v>
      </c>
      <c r="P73" s="6">
        <f t="shared" si="12"/>
        <v>7996</v>
      </c>
      <c r="Q73" s="69">
        <f t="shared" si="13"/>
        <v>8526.519338</v>
      </c>
      <c r="R73" s="69">
        <f t="shared" si="14"/>
        <v>8530.112092</v>
      </c>
      <c r="S73" s="69">
        <f t="shared" si="15"/>
        <v>8533.704846</v>
      </c>
    </row>
    <row r="74">
      <c r="A74" s="24">
        <v>2.611606084E9</v>
      </c>
      <c r="B74" s="24" t="s">
        <v>111</v>
      </c>
      <c r="C74" s="24">
        <v>8838.0</v>
      </c>
      <c r="D74" s="69">
        <f t="shared" si="1"/>
        <v>8947.966565</v>
      </c>
      <c r="E74" s="69">
        <f t="shared" si="2"/>
        <v>8997.279679</v>
      </c>
      <c r="F74" s="69">
        <f t="shared" si="3"/>
        <v>9254.60121</v>
      </c>
      <c r="G74" s="69">
        <f t="shared" si="4"/>
        <v>9306.529544</v>
      </c>
      <c r="H74" s="69">
        <f t="shared" si="5"/>
        <v>9356.83783</v>
      </c>
      <c r="I74" s="69">
        <f t="shared" si="6"/>
        <v>9405.43928</v>
      </c>
      <c r="J74" s="69">
        <f t="shared" si="7"/>
        <v>9452.385965</v>
      </c>
      <c r="K74" s="69">
        <f t="shared" si="8"/>
        <v>9476.322179</v>
      </c>
      <c r="L74" s="69">
        <f t="shared" si="9"/>
        <v>9521.990184</v>
      </c>
      <c r="M74" s="69">
        <f t="shared" si="10"/>
        <v>9566.738233</v>
      </c>
      <c r="N74" s="69">
        <f t="shared" si="11"/>
        <v>9610.456394</v>
      </c>
      <c r="O74" s="24">
        <v>9835.0</v>
      </c>
      <c r="P74" s="6">
        <f t="shared" si="12"/>
        <v>9835</v>
      </c>
      <c r="Q74" s="69">
        <f t="shared" si="13"/>
        <v>10487.53348</v>
      </c>
      <c r="R74" s="69">
        <f t="shared" si="14"/>
        <v>10491.95253</v>
      </c>
      <c r="S74" s="69">
        <f t="shared" si="15"/>
        <v>10496.37158</v>
      </c>
    </row>
    <row r="75">
      <c r="A75" s="24">
        <v>2.611606048E9</v>
      </c>
      <c r="B75" s="24" t="s">
        <v>112</v>
      </c>
      <c r="C75" s="24">
        <v>29044.0</v>
      </c>
      <c r="D75" s="69">
        <f t="shared" si="1"/>
        <v>29405.37915</v>
      </c>
      <c r="E75" s="69">
        <f t="shared" si="2"/>
        <v>29567.43505</v>
      </c>
      <c r="F75" s="69">
        <f t="shared" si="3"/>
        <v>30413.0615</v>
      </c>
      <c r="G75" s="69">
        <f t="shared" si="4"/>
        <v>30583.71171</v>
      </c>
      <c r="H75" s="69">
        <f t="shared" si="5"/>
        <v>30749.03801</v>
      </c>
      <c r="I75" s="69">
        <f t="shared" si="6"/>
        <v>30908.7552</v>
      </c>
      <c r="J75" s="69">
        <f t="shared" si="7"/>
        <v>31063.03439</v>
      </c>
      <c r="K75" s="69">
        <f t="shared" si="8"/>
        <v>31141.69511</v>
      </c>
      <c r="L75" s="69">
        <f t="shared" si="9"/>
        <v>31291.77222</v>
      </c>
      <c r="M75" s="69">
        <f t="shared" si="10"/>
        <v>31438.82612</v>
      </c>
      <c r="N75" s="69">
        <f t="shared" si="11"/>
        <v>31582.49553</v>
      </c>
      <c r="O75" s="24">
        <v>32450.0</v>
      </c>
      <c r="P75" s="6">
        <f t="shared" si="12"/>
        <v>32450</v>
      </c>
      <c r="Q75" s="69">
        <f t="shared" si="13"/>
        <v>34602.99556</v>
      </c>
      <c r="R75" s="69">
        <f t="shared" si="14"/>
        <v>34617.57596</v>
      </c>
      <c r="S75" s="69">
        <f t="shared" si="15"/>
        <v>34632.15636</v>
      </c>
    </row>
    <row r="76">
      <c r="A76" s="24">
        <v>2.611606062E9</v>
      </c>
      <c r="B76" s="24" t="s">
        <v>113</v>
      </c>
      <c r="C76" s="24">
        <v>22838.0</v>
      </c>
      <c r="D76" s="69">
        <f t="shared" si="1"/>
        <v>23122.16117</v>
      </c>
      <c r="E76" s="69">
        <f t="shared" si="2"/>
        <v>23249.58965</v>
      </c>
      <c r="F76" s="69">
        <f t="shared" si="3"/>
        <v>23914.52619</v>
      </c>
      <c r="G76" s="69">
        <f t="shared" si="4"/>
        <v>24048.71257</v>
      </c>
      <c r="H76" s="69">
        <f t="shared" si="5"/>
        <v>24178.71265</v>
      </c>
      <c r="I76" s="69">
        <f t="shared" si="6"/>
        <v>24304.30213</v>
      </c>
      <c r="J76" s="69">
        <f t="shared" si="7"/>
        <v>24425.6156</v>
      </c>
      <c r="K76" s="69">
        <f t="shared" si="8"/>
        <v>24487.46842</v>
      </c>
      <c r="L76" s="69">
        <f t="shared" si="9"/>
        <v>24605.47769</v>
      </c>
      <c r="M76" s="69">
        <f t="shared" si="10"/>
        <v>24721.10973</v>
      </c>
      <c r="N76" s="69">
        <f t="shared" si="11"/>
        <v>24834.08046</v>
      </c>
      <c r="O76" s="24">
        <v>25832.0</v>
      </c>
      <c r="P76" s="6">
        <f t="shared" si="12"/>
        <v>25832</v>
      </c>
      <c r="Q76" s="69">
        <f t="shared" si="13"/>
        <v>27545.90389</v>
      </c>
      <c r="R76" s="69">
        <f t="shared" si="14"/>
        <v>27557.5107</v>
      </c>
      <c r="S76" s="69">
        <f t="shared" si="15"/>
        <v>27569.11751</v>
      </c>
    </row>
    <row r="77">
      <c r="A77" s="24">
        <v>2.611606058E9</v>
      </c>
      <c r="B77" s="24" t="s">
        <v>114</v>
      </c>
      <c r="C77" s="24">
        <v>5913.0</v>
      </c>
      <c r="D77" s="69">
        <f t="shared" si="1"/>
        <v>5986.572335</v>
      </c>
      <c r="E77" s="69">
        <f t="shared" si="2"/>
        <v>6019.564917</v>
      </c>
      <c r="F77" s="69">
        <f t="shared" si="3"/>
        <v>6191.724027</v>
      </c>
      <c r="G77" s="69">
        <f t="shared" si="4"/>
        <v>6226.466304</v>
      </c>
      <c r="H77" s="69">
        <f t="shared" si="5"/>
        <v>6260.124699</v>
      </c>
      <c r="I77" s="69">
        <f t="shared" si="6"/>
        <v>6292.641147</v>
      </c>
      <c r="J77" s="69">
        <f t="shared" si="7"/>
        <v>6324.050488</v>
      </c>
      <c r="K77" s="69">
        <f t="shared" si="8"/>
        <v>6340.064839</v>
      </c>
      <c r="L77" s="69">
        <f t="shared" si="9"/>
        <v>6370.618687</v>
      </c>
      <c r="M77" s="69">
        <f t="shared" si="10"/>
        <v>6400.557046</v>
      </c>
      <c r="N77" s="69">
        <f t="shared" si="11"/>
        <v>6429.806365</v>
      </c>
      <c r="O77" s="24">
        <v>6738.0</v>
      </c>
      <c r="P77" s="6">
        <f t="shared" si="12"/>
        <v>6738</v>
      </c>
      <c r="Q77" s="69">
        <f t="shared" si="13"/>
        <v>7185.053439</v>
      </c>
      <c r="R77" s="69">
        <f t="shared" si="14"/>
        <v>7188.08095</v>
      </c>
      <c r="S77" s="69">
        <f t="shared" si="15"/>
        <v>7191.108461</v>
      </c>
    </row>
    <row r="78">
      <c r="A78" s="24">
        <v>2.611606059E9</v>
      </c>
      <c r="B78" s="24" t="s">
        <v>115</v>
      </c>
      <c r="C78" s="24">
        <v>17865.0</v>
      </c>
      <c r="D78" s="69">
        <f t="shared" si="1"/>
        <v>18087.28476</v>
      </c>
      <c r="E78" s="69">
        <f t="shared" si="2"/>
        <v>18186.96554</v>
      </c>
      <c r="F78" s="69">
        <f t="shared" si="3"/>
        <v>18707.11141</v>
      </c>
      <c r="G78" s="69">
        <f t="shared" si="4"/>
        <v>18812.07856</v>
      </c>
      <c r="H78" s="69">
        <f t="shared" si="5"/>
        <v>18913.77097</v>
      </c>
      <c r="I78" s="69">
        <f t="shared" si="6"/>
        <v>19012.01321</v>
      </c>
      <c r="J78" s="69">
        <f t="shared" si="7"/>
        <v>19106.91053</v>
      </c>
      <c r="K78" s="69">
        <f t="shared" si="8"/>
        <v>19155.29483</v>
      </c>
      <c r="L78" s="69">
        <f t="shared" si="9"/>
        <v>19247.60745</v>
      </c>
      <c r="M78" s="69">
        <f t="shared" si="10"/>
        <v>19338.06048</v>
      </c>
      <c r="N78" s="69">
        <f t="shared" si="11"/>
        <v>19426.43171</v>
      </c>
      <c r="O78" s="24">
        <v>20872.0</v>
      </c>
      <c r="P78" s="6">
        <f t="shared" si="12"/>
        <v>20872</v>
      </c>
      <c r="Q78" s="69">
        <f t="shared" si="13"/>
        <v>22256.81736</v>
      </c>
      <c r="R78" s="69">
        <f t="shared" si="14"/>
        <v>22266.19555</v>
      </c>
      <c r="S78" s="69">
        <f t="shared" si="15"/>
        <v>22275.57373</v>
      </c>
    </row>
    <row r="79">
      <c r="A79" s="24">
        <v>2.611606006E9</v>
      </c>
      <c r="B79" s="24" t="s">
        <v>116</v>
      </c>
      <c r="C79" s="24">
        <v>486.0</v>
      </c>
      <c r="D79" s="69">
        <f t="shared" si="1"/>
        <v>492.0470413</v>
      </c>
      <c r="E79" s="69">
        <f t="shared" si="2"/>
        <v>494.7587603</v>
      </c>
      <c r="F79" s="69">
        <f t="shared" si="3"/>
        <v>508.9088242</v>
      </c>
      <c r="G79" s="69">
        <f t="shared" si="4"/>
        <v>511.7643538</v>
      </c>
      <c r="H79" s="69">
        <f t="shared" si="5"/>
        <v>514.5307972</v>
      </c>
      <c r="I79" s="69">
        <f t="shared" si="6"/>
        <v>517.203382</v>
      </c>
      <c r="J79" s="69">
        <f t="shared" si="7"/>
        <v>519.7849716</v>
      </c>
      <c r="K79" s="69">
        <f t="shared" si="8"/>
        <v>521.1012196</v>
      </c>
      <c r="L79" s="69">
        <f t="shared" si="9"/>
        <v>523.6124948</v>
      </c>
      <c r="M79" s="69">
        <f t="shared" si="10"/>
        <v>526.0731818</v>
      </c>
      <c r="N79" s="69">
        <f t="shared" si="11"/>
        <v>528.4772355</v>
      </c>
      <c r="O79" s="24">
        <v>568.0</v>
      </c>
      <c r="P79" s="6">
        <f t="shared" si="12"/>
        <v>568</v>
      </c>
      <c r="Q79" s="69">
        <f t="shared" si="13"/>
        <v>605.6857158</v>
      </c>
      <c r="R79" s="69">
        <f t="shared" si="14"/>
        <v>605.940929</v>
      </c>
      <c r="S79" s="69">
        <f t="shared" si="15"/>
        <v>606.1961422</v>
      </c>
    </row>
    <row r="80">
      <c r="A80" s="24">
        <v>2.611606076E9</v>
      </c>
      <c r="B80" s="24" t="s">
        <v>117</v>
      </c>
      <c r="C80" s="24">
        <v>10236.0</v>
      </c>
      <c r="D80" s="69">
        <f t="shared" si="1"/>
        <v>10363.36114</v>
      </c>
      <c r="E80" s="69">
        <f t="shared" si="2"/>
        <v>10420.47463</v>
      </c>
      <c r="F80" s="69">
        <f t="shared" si="3"/>
        <v>10718.49943</v>
      </c>
      <c r="G80" s="69">
        <f t="shared" si="4"/>
        <v>10778.64182</v>
      </c>
      <c r="H80" s="69">
        <f t="shared" si="5"/>
        <v>10836.9079</v>
      </c>
      <c r="I80" s="69">
        <f t="shared" si="6"/>
        <v>10893.19716</v>
      </c>
      <c r="J80" s="69">
        <f t="shared" si="7"/>
        <v>10947.5699</v>
      </c>
      <c r="K80" s="69">
        <f t="shared" si="8"/>
        <v>10975.29235</v>
      </c>
      <c r="L80" s="69">
        <f t="shared" si="9"/>
        <v>11028.18415</v>
      </c>
      <c r="M80" s="69">
        <f t="shared" si="10"/>
        <v>11080.01047</v>
      </c>
      <c r="N80" s="69">
        <f t="shared" si="11"/>
        <v>11130.644</v>
      </c>
      <c r="O80" s="24">
        <v>12051.0</v>
      </c>
      <c r="P80" s="6">
        <f t="shared" si="12"/>
        <v>12051</v>
      </c>
      <c r="Q80" s="69">
        <f t="shared" si="13"/>
        <v>12850.56085</v>
      </c>
      <c r="R80" s="69">
        <f t="shared" si="14"/>
        <v>12855.97559</v>
      </c>
      <c r="S80" s="69">
        <f t="shared" si="15"/>
        <v>12861.39033</v>
      </c>
    </row>
    <row r="81">
      <c r="A81" s="24">
        <v>2.61160604E9</v>
      </c>
      <c r="B81" s="24" t="s">
        <v>118</v>
      </c>
      <c r="C81" s="24">
        <v>2560.0</v>
      </c>
      <c r="D81" s="69">
        <f t="shared" si="1"/>
        <v>2591.852728</v>
      </c>
      <c r="E81" s="69">
        <f t="shared" si="2"/>
        <v>2606.13668</v>
      </c>
      <c r="F81" s="69">
        <f t="shared" si="3"/>
        <v>2680.671996</v>
      </c>
      <c r="G81" s="69">
        <f t="shared" si="4"/>
        <v>2695.713468</v>
      </c>
      <c r="H81" s="69">
        <f t="shared" si="5"/>
        <v>2710.285681</v>
      </c>
      <c r="I81" s="69">
        <f t="shared" si="6"/>
        <v>2724.363494</v>
      </c>
      <c r="J81" s="69">
        <f t="shared" si="7"/>
        <v>2737.96199</v>
      </c>
      <c r="K81" s="69">
        <f t="shared" si="8"/>
        <v>2744.895313</v>
      </c>
      <c r="L81" s="69">
        <f t="shared" si="9"/>
        <v>2758.12343</v>
      </c>
      <c r="M81" s="69">
        <f t="shared" si="10"/>
        <v>2771.085073</v>
      </c>
      <c r="N81" s="69">
        <f t="shared" si="11"/>
        <v>2783.748401</v>
      </c>
      <c r="O81" s="24">
        <v>3026.0</v>
      </c>
      <c r="P81" s="6">
        <f t="shared" si="12"/>
        <v>3026</v>
      </c>
      <c r="Q81" s="69">
        <f t="shared" si="13"/>
        <v>3226.769324</v>
      </c>
      <c r="R81" s="69">
        <f t="shared" si="14"/>
        <v>3228.128963</v>
      </c>
      <c r="S81" s="69">
        <f t="shared" si="15"/>
        <v>3229.488602</v>
      </c>
    </row>
    <row r="82">
      <c r="A82" s="24">
        <v>2.61160601E9</v>
      </c>
      <c r="B82" s="24" t="s">
        <v>119</v>
      </c>
      <c r="C82" s="24">
        <v>1546.0</v>
      </c>
      <c r="D82" s="69">
        <f t="shared" si="1"/>
        <v>1565.236061</v>
      </c>
      <c r="E82" s="69">
        <f t="shared" si="2"/>
        <v>1573.862229</v>
      </c>
      <c r="F82" s="69">
        <f t="shared" si="3"/>
        <v>1618.874572</v>
      </c>
      <c r="G82" s="69">
        <f t="shared" si="4"/>
        <v>1627.958212</v>
      </c>
      <c r="H82" s="69">
        <f t="shared" si="5"/>
        <v>1636.758462</v>
      </c>
      <c r="I82" s="69">
        <f t="shared" si="6"/>
        <v>1645.260141</v>
      </c>
      <c r="J82" s="69">
        <f t="shared" si="7"/>
        <v>1653.472358</v>
      </c>
      <c r="K82" s="69">
        <f t="shared" si="8"/>
        <v>1657.659435</v>
      </c>
      <c r="L82" s="69">
        <f t="shared" si="9"/>
        <v>1665.647977</v>
      </c>
      <c r="M82" s="69">
        <f t="shared" si="10"/>
        <v>1673.475595</v>
      </c>
      <c r="N82" s="69">
        <f t="shared" si="11"/>
        <v>1681.123058</v>
      </c>
      <c r="O82" s="24">
        <v>1831.0</v>
      </c>
      <c r="P82" s="6">
        <f t="shared" si="12"/>
        <v>1831</v>
      </c>
      <c r="Q82" s="69">
        <f t="shared" si="13"/>
        <v>1952.483355</v>
      </c>
      <c r="R82" s="69">
        <f t="shared" si="14"/>
        <v>1953.306058</v>
      </c>
      <c r="S82" s="69">
        <f t="shared" si="15"/>
        <v>1954.128761</v>
      </c>
    </row>
    <row r="83">
      <c r="A83" s="24">
        <v>2.611606027E9</v>
      </c>
      <c r="B83" s="24" t="s">
        <v>120</v>
      </c>
      <c r="C83" s="24">
        <v>20292.0</v>
      </c>
      <c r="D83" s="69">
        <f t="shared" si="1"/>
        <v>20544.48264</v>
      </c>
      <c r="E83" s="69">
        <f t="shared" si="2"/>
        <v>20657.70528</v>
      </c>
      <c r="F83" s="69">
        <f t="shared" si="3"/>
        <v>21248.51412</v>
      </c>
      <c r="G83" s="69">
        <f t="shared" si="4"/>
        <v>21367.74129</v>
      </c>
      <c r="H83" s="69">
        <f t="shared" si="5"/>
        <v>21483.24884</v>
      </c>
      <c r="I83" s="69">
        <f t="shared" si="6"/>
        <v>21594.8375</v>
      </c>
      <c r="J83" s="69">
        <f t="shared" si="7"/>
        <v>21702.62684</v>
      </c>
      <c r="K83" s="69">
        <f t="shared" si="8"/>
        <v>21757.58426</v>
      </c>
      <c r="L83" s="69">
        <f t="shared" si="9"/>
        <v>21862.43775</v>
      </c>
      <c r="M83" s="69">
        <f t="shared" si="10"/>
        <v>21965.17902</v>
      </c>
      <c r="N83" s="69">
        <f t="shared" si="11"/>
        <v>22065.55568</v>
      </c>
      <c r="O83" s="24">
        <v>24306.0</v>
      </c>
      <c r="P83" s="6">
        <f t="shared" si="12"/>
        <v>24306</v>
      </c>
      <c r="Q83" s="69">
        <f t="shared" si="13"/>
        <v>25918.65671</v>
      </c>
      <c r="R83" s="69">
        <f t="shared" si="14"/>
        <v>25929.57785</v>
      </c>
      <c r="S83" s="69">
        <f t="shared" si="15"/>
        <v>25940.499</v>
      </c>
    </row>
    <row r="84">
      <c r="A84" s="24">
        <v>2.611606057E9</v>
      </c>
      <c r="B84" s="24" t="s">
        <v>121</v>
      </c>
      <c r="C84" s="24">
        <v>4614.0</v>
      </c>
      <c r="D84" s="69">
        <f t="shared" si="1"/>
        <v>4671.409565</v>
      </c>
      <c r="E84" s="69">
        <f t="shared" si="2"/>
        <v>4697.154157</v>
      </c>
      <c r="F84" s="69">
        <f t="shared" si="3"/>
        <v>4831.492417</v>
      </c>
      <c r="G84" s="69">
        <f t="shared" si="4"/>
        <v>4858.602321</v>
      </c>
      <c r="H84" s="69">
        <f t="shared" si="5"/>
        <v>4884.866457</v>
      </c>
      <c r="I84" s="69">
        <f t="shared" si="6"/>
        <v>4910.239515</v>
      </c>
      <c r="J84" s="69">
        <f t="shared" si="7"/>
        <v>4934.748681</v>
      </c>
      <c r="K84" s="69">
        <f t="shared" si="8"/>
        <v>4947.244912</v>
      </c>
      <c r="L84" s="69">
        <f t="shared" si="9"/>
        <v>4971.086525</v>
      </c>
      <c r="M84" s="69">
        <f t="shared" si="10"/>
        <v>4994.447862</v>
      </c>
      <c r="N84" s="69">
        <f t="shared" si="11"/>
        <v>5017.271532</v>
      </c>
      <c r="O84" s="24">
        <v>5542.0</v>
      </c>
      <c r="P84" s="6">
        <f t="shared" si="12"/>
        <v>5542</v>
      </c>
      <c r="Q84" s="69">
        <f t="shared" si="13"/>
        <v>5909.701122</v>
      </c>
      <c r="R84" s="69">
        <f t="shared" si="14"/>
        <v>5912.191247</v>
      </c>
      <c r="S84" s="69">
        <f t="shared" si="15"/>
        <v>5914.681373</v>
      </c>
    </row>
    <row r="85">
      <c r="A85" s="24">
        <v>2.611606037E9</v>
      </c>
      <c r="B85" s="24" t="s">
        <v>122</v>
      </c>
      <c r="C85" s="24">
        <v>72.0</v>
      </c>
      <c r="D85" s="69">
        <f t="shared" si="1"/>
        <v>72.89585796</v>
      </c>
      <c r="E85" s="69">
        <f t="shared" si="2"/>
        <v>73.29759412</v>
      </c>
      <c r="F85" s="69">
        <f t="shared" si="3"/>
        <v>75.39389988</v>
      </c>
      <c r="G85" s="69">
        <f t="shared" si="4"/>
        <v>75.8169413</v>
      </c>
      <c r="H85" s="69">
        <f t="shared" si="5"/>
        <v>76.22678477</v>
      </c>
      <c r="I85" s="69">
        <f t="shared" si="6"/>
        <v>76.62272326</v>
      </c>
      <c r="J85" s="69">
        <f t="shared" si="7"/>
        <v>77.00518098</v>
      </c>
      <c r="K85" s="69">
        <f t="shared" si="8"/>
        <v>77.20018069</v>
      </c>
      <c r="L85" s="69">
        <f t="shared" si="9"/>
        <v>77.57222146</v>
      </c>
      <c r="M85" s="69">
        <f t="shared" si="10"/>
        <v>77.93676768</v>
      </c>
      <c r="N85" s="69">
        <f t="shared" si="11"/>
        <v>78.29292378</v>
      </c>
      <c r="O85" s="24">
        <v>89.0</v>
      </c>
      <c r="P85" s="6">
        <f t="shared" si="12"/>
        <v>89</v>
      </c>
      <c r="Q85" s="69">
        <f t="shared" si="13"/>
        <v>94.90498012</v>
      </c>
      <c r="R85" s="69">
        <f t="shared" si="14"/>
        <v>94.94496951</v>
      </c>
      <c r="S85" s="69">
        <f t="shared" si="15"/>
        <v>94.9849589</v>
      </c>
    </row>
    <row r="86">
      <c r="A86" s="24">
        <v>2.611606025E9</v>
      </c>
      <c r="B86" s="24" t="s">
        <v>123</v>
      </c>
      <c r="C86" s="24">
        <v>11770.0</v>
      </c>
      <c r="D86" s="69">
        <f t="shared" si="1"/>
        <v>11916.44789</v>
      </c>
      <c r="E86" s="69">
        <f t="shared" si="2"/>
        <v>11982.12059</v>
      </c>
      <c r="F86" s="69">
        <f t="shared" si="3"/>
        <v>12324.80835</v>
      </c>
      <c r="G86" s="69">
        <f t="shared" si="4"/>
        <v>12393.96388</v>
      </c>
      <c r="H86" s="69">
        <f t="shared" si="5"/>
        <v>12460.9619</v>
      </c>
      <c r="I86" s="69">
        <f t="shared" si="6"/>
        <v>12525.68684</v>
      </c>
      <c r="J86" s="69">
        <f t="shared" si="7"/>
        <v>12588.20806</v>
      </c>
      <c r="K86" s="69">
        <f t="shared" si="8"/>
        <v>12620.08509</v>
      </c>
      <c r="L86" s="69">
        <f t="shared" si="9"/>
        <v>12680.90342</v>
      </c>
      <c r="M86" s="69">
        <f t="shared" si="10"/>
        <v>12740.49661</v>
      </c>
      <c r="N86" s="69">
        <f t="shared" si="11"/>
        <v>12798.71823</v>
      </c>
      <c r="O86" s="24">
        <v>15249.0</v>
      </c>
      <c r="P86" s="6">
        <f t="shared" si="12"/>
        <v>15249</v>
      </c>
      <c r="Q86" s="69">
        <f t="shared" si="13"/>
        <v>16260.74204</v>
      </c>
      <c r="R86" s="69">
        <f t="shared" si="14"/>
        <v>16267.59371</v>
      </c>
      <c r="S86" s="69">
        <f t="shared" si="15"/>
        <v>16274.44537</v>
      </c>
    </row>
    <row r="87">
      <c r="A87" s="24">
        <v>2.61160607E9</v>
      </c>
      <c r="B87" s="24" t="s">
        <v>124</v>
      </c>
      <c r="C87" s="24">
        <v>9622.0</v>
      </c>
      <c r="D87" s="69">
        <f t="shared" si="1"/>
        <v>9741.721463</v>
      </c>
      <c r="E87" s="69">
        <f t="shared" si="2"/>
        <v>9795.409037</v>
      </c>
      <c r="F87" s="69">
        <f t="shared" si="3"/>
        <v>10075.55701</v>
      </c>
      <c r="G87" s="69">
        <f t="shared" si="4"/>
        <v>10132.09179</v>
      </c>
      <c r="H87" s="69">
        <f t="shared" si="5"/>
        <v>10186.86282</v>
      </c>
      <c r="I87" s="69">
        <f t="shared" si="6"/>
        <v>10239.7756</v>
      </c>
      <c r="J87" s="69">
        <f t="shared" si="7"/>
        <v>10290.88682</v>
      </c>
      <c r="K87" s="69">
        <f t="shared" si="8"/>
        <v>10316.94637</v>
      </c>
      <c r="L87" s="69">
        <f t="shared" si="9"/>
        <v>10366.66548</v>
      </c>
      <c r="M87" s="69">
        <f t="shared" si="10"/>
        <v>10415.38304</v>
      </c>
      <c r="N87" s="69">
        <f t="shared" si="11"/>
        <v>10462.97934</v>
      </c>
      <c r="O87" s="24">
        <v>13813.0</v>
      </c>
      <c r="P87" s="6">
        <f t="shared" si="12"/>
        <v>13813</v>
      </c>
      <c r="Q87" s="69">
        <f t="shared" si="13"/>
        <v>14729.46618</v>
      </c>
      <c r="R87" s="69">
        <f t="shared" si="14"/>
        <v>14735.67263</v>
      </c>
      <c r="S87" s="69">
        <f t="shared" si="15"/>
        <v>14741.87907</v>
      </c>
    </row>
    <row r="88">
      <c r="A88" s="24">
        <v>2.611606026E9</v>
      </c>
      <c r="B88" s="24" t="s">
        <v>125</v>
      </c>
      <c r="C88" s="24">
        <v>1058.0</v>
      </c>
      <c r="D88" s="69">
        <f t="shared" si="1"/>
        <v>1071.164135</v>
      </c>
      <c r="E88" s="69">
        <f t="shared" si="2"/>
        <v>1077.067425</v>
      </c>
      <c r="F88" s="69">
        <f t="shared" si="3"/>
        <v>1107.871473</v>
      </c>
      <c r="G88" s="69">
        <f t="shared" si="4"/>
        <v>1114.087832</v>
      </c>
      <c r="H88" s="69">
        <f t="shared" si="5"/>
        <v>1120.110254</v>
      </c>
      <c r="I88" s="69">
        <f t="shared" si="6"/>
        <v>1125.92835</v>
      </c>
      <c r="J88" s="69">
        <f t="shared" si="7"/>
        <v>1131.548354</v>
      </c>
      <c r="K88" s="69">
        <f t="shared" si="8"/>
        <v>1134.413766</v>
      </c>
      <c r="L88" s="69">
        <f t="shared" si="9"/>
        <v>1139.880699</v>
      </c>
      <c r="M88" s="69">
        <f t="shared" si="10"/>
        <v>1145.237503</v>
      </c>
      <c r="N88" s="69">
        <f t="shared" si="11"/>
        <v>1150.471019</v>
      </c>
      <c r="O88" s="24">
        <v>1566.0</v>
      </c>
      <c r="P88" s="6">
        <f t="shared" si="12"/>
        <v>1566</v>
      </c>
      <c r="Q88" s="69">
        <f t="shared" si="13"/>
        <v>1669.901111</v>
      </c>
      <c r="R88" s="69">
        <f t="shared" si="14"/>
        <v>1670.604744</v>
      </c>
      <c r="S88" s="69">
        <f t="shared" si="15"/>
        <v>1671.308378</v>
      </c>
    </row>
    <row r="89">
      <c r="A89" s="24">
        <v>2.611606022E9</v>
      </c>
      <c r="B89" s="24" t="s">
        <v>126</v>
      </c>
      <c r="C89" s="24">
        <v>1554.0</v>
      </c>
      <c r="D89" s="69">
        <f t="shared" si="1"/>
        <v>1573.335601</v>
      </c>
      <c r="E89" s="69">
        <f t="shared" si="2"/>
        <v>1582.006407</v>
      </c>
      <c r="F89" s="69">
        <f t="shared" si="3"/>
        <v>1627.251672</v>
      </c>
      <c r="G89" s="69">
        <f t="shared" si="4"/>
        <v>1636.382316</v>
      </c>
      <c r="H89" s="69">
        <f t="shared" si="5"/>
        <v>1645.228105</v>
      </c>
      <c r="I89" s="69">
        <f t="shared" si="6"/>
        <v>1653.773777</v>
      </c>
      <c r="J89" s="69">
        <f t="shared" si="7"/>
        <v>1662.02849</v>
      </c>
      <c r="K89" s="69">
        <f t="shared" si="8"/>
        <v>1666.237233</v>
      </c>
      <c r="L89" s="69">
        <f t="shared" si="9"/>
        <v>1674.267113</v>
      </c>
      <c r="M89" s="69">
        <f t="shared" si="10"/>
        <v>1682.135236</v>
      </c>
      <c r="N89" s="69">
        <f t="shared" si="11"/>
        <v>1689.822272</v>
      </c>
      <c r="O89" s="24">
        <v>2382.0</v>
      </c>
      <c r="P89" s="6">
        <f t="shared" si="12"/>
        <v>2382</v>
      </c>
      <c r="Q89" s="69">
        <f t="shared" si="13"/>
        <v>2540.041153</v>
      </c>
      <c r="R89" s="69">
        <f t="shared" si="14"/>
        <v>2541.111431</v>
      </c>
      <c r="S89" s="69">
        <f t="shared" si="15"/>
        <v>2542.181709</v>
      </c>
    </row>
    <row r="90">
      <c r="A90" s="24">
        <v>2.611606083E9</v>
      </c>
      <c r="B90" s="24" t="s">
        <v>127</v>
      </c>
      <c r="C90" s="24">
        <v>7677.0</v>
      </c>
      <c r="D90" s="69">
        <f t="shared" si="1"/>
        <v>7772.520856</v>
      </c>
      <c r="E90" s="69">
        <f t="shared" si="2"/>
        <v>7815.355973</v>
      </c>
      <c r="F90" s="69">
        <f t="shared" si="3"/>
        <v>8038.874574</v>
      </c>
      <c r="G90" s="69">
        <f t="shared" si="4"/>
        <v>8083.981366</v>
      </c>
      <c r="H90" s="69">
        <f t="shared" si="5"/>
        <v>8127.680926</v>
      </c>
      <c r="I90" s="69">
        <f t="shared" si="6"/>
        <v>8169.897867</v>
      </c>
      <c r="J90" s="69">
        <f t="shared" si="7"/>
        <v>8210.677422</v>
      </c>
      <c r="K90" s="69">
        <f t="shared" si="8"/>
        <v>8231.469266</v>
      </c>
      <c r="L90" s="69">
        <f t="shared" si="9"/>
        <v>8271.138113</v>
      </c>
      <c r="M90" s="69">
        <f t="shared" si="10"/>
        <v>8310.007854</v>
      </c>
      <c r="N90" s="69">
        <f t="shared" si="11"/>
        <v>8347.982998</v>
      </c>
      <c r="O90" s="24">
        <v>12768.0</v>
      </c>
      <c r="P90" s="6">
        <f t="shared" si="12"/>
        <v>12768</v>
      </c>
      <c r="Q90" s="69">
        <f t="shared" si="13"/>
        <v>13615.13243</v>
      </c>
      <c r="R90" s="69">
        <f t="shared" si="14"/>
        <v>13620.86933</v>
      </c>
      <c r="S90" s="69">
        <f t="shared" si="15"/>
        <v>13626.60624</v>
      </c>
    </row>
    <row r="91">
      <c r="A91" s="24">
        <v>2.611606038E9</v>
      </c>
      <c r="B91" s="24" t="s">
        <v>128</v>
      </c>
      <c r="C91" s="24">
        <v>6287.0</v>
      </c>
      <c r="D91" s="69">
        <f t="shared" si="1"/>
        <v>6365.22582</v>
      </c>
      <c r="E91" s="69">
        <f t="shared" si="2"/>
        <v>6400.305198</v>
      </c>
      <c r="F91" s="69">
        <f t="shared" si="3"/>
        <v>6583.353452</v>
      </c>
      <c r="G91" s="69">
        <f t="shared" si="4"/>
        <v>6620.293193</v>
      </c>
      <c r="H91" s="69">
        <f t="shared" si="5"/>
        <v>6656.080498</v>
      </c>
      <c r="I91" s="69">
        <f t="shared" si="6"/>
        <v>6690.653626</v>
      </c>
      <c r="J91" s="69">
        <f t="shared" si="7"/>
        <v>6724.049623</v>
      </c>
      <c r="K91" s="69">
        <f t="shared" si="8"/>
        <v>6741.076889</v>
      </c>
      <c r="L91" s="69">
        <f t="shared" si="9"/>
        <v>6773.563282</v>
      </c>
      <c r="M91" s="69">
        <f t="shared" si="10"/>
        <v>6805.395256</v>
      </c>
      <c r="N91" s="69">
        <f t="shared" si="11"/>
        <v>6836.494608</v>
      </c>
      <c r="O91" s="24">
        <v>11095.0</v>
      </c>
      <c r="P91" s="6">
        <f t="shared" si="12"/>
        <v>11095</v>
      </c>
      <c r="Q91" s="69">
        <f t="shared" si="13"/>
        <v>11831.13207</v>
      </c>
      <c r="R91" s="69">
        <f t="shared" si="14"/>
        <v>11836.11727</v>
      </c>
      <c r="S91" s="69">
        <f t="shared" si="15"/>
        <v>11841.10246</v>
      </c>
    </row>
    <row r="92">
      <c r="A92" s="24">
        <v>2.611606017E9</v>
      </c>
      <c r="B92" s="24" t="s">
        <v>129</v>
      </c>
      <c r="C92" s="24">
        <v>4075.0</v>
      </c>
      <c r="D92" s="69">
        <f t="shared" si="1"/>
        <v>4125.703072</v>
      </c>
      <c r="E92" s="69">
        <f t="shared" si="2"/>
        <v>4148.440223</v>
      </c>
      <c r="F92" s="69">
        <f t="shared" si="3"/>
        <v>4267.085305</v>
      </c>
      <c r="G92" s="69">
        <f t="shared" si="4"/>
        <v>4291.028275</v>
      </c>
      <c r="H92" s="69">
        <f t="shared" si="5"/>
        <v>4314.224277</v>
      </c>
      <c r="I92" s="69">
        <f t="shared" si="6"/>
        <v>4336.633295</v>
      </c>
      <c r="J92" s="69">
        <f t="shared" si="7"/>
        <v>4358.27934</v>
      </c>
      <c r="K92" s="69">
        <f t="shared" si="8"/>
        <v>4369.315782</v>
      </c>
      <c r="L92" s="69">
        <f t="shared" si="9"/>
        <v>4390.372256</v>
      </c>
      <c r="M92" s="69">
        <f t="shared" si="10"/>
        <v>4411.00456</v>
      </c>
      <c r="N92" s="69">
        <f t="shared" si="11"/>
        <v>4431.162005</v>
      </c>
      <c r="O92" s="24">
        <v>7271.0</v>
      </c>
      <c r="P92" s="6">
        <f t="shared" si="12"/>
        <v>7271</v>
      </c>
      <c r="Q92" s="69">
        <f t="shared" si="13"/>
        <v>7753.416971</v>
      </c>
      <c r="R92" s="69">
        <f t="shared" si="14"/>
        <v>7756.68397</v>
      </c>
      <c r="S92" s="69">
        <f t="shared" si="15"/>
        <v>7759.950968</v>
      </c>
    </row>
    <row r="93">
      <c r="A93" s="24">
        <v>2.611606005E9</v>
      </c>
      <c r="B93" s="24" t="s">
        <v>130</v>
      </c>
      <c r="C93" s="24">
        <v>246.0</v>
      </c>
      <c r="D93" s="69">
        <f t="shared" si="1"/>
        <v>249.060848</v>
      </c>
      <c r="E93" s="69">
        <f t="shared" si="2"/>
        <v>250.4334466</v>
      </c>
      <c r="F93" s="69">
        <f t="shared" si="3"/>
        <v>257.5958246</v>
      </c>
      <c r="G93" s="69">
        <f t="shared" si="4"/>
        <v>259.0412161</v>
      </c>
      <c r="H93" s="69">
        <f t="shared" si="5"/>
        <v>260.4415146</v>
      </c>
      <c r="I93" s="69">
        <f t="shared" si="6"/>
        <v>261.7943045</v>
      </c>
      <c r="J93" s="69">
        <f t="shared" si="7"/>
        <v>263.101035</v>
      </c>
      <c r="K93" s="69">
        <f t="shared" si="8"/>
        <v>263.767284</v>
      </c>
      <c r="L93" s="69">
        <f t="shared" si="9"/>
        <v>265.0384233</v>
      </c>
      <c r="M93" s="69">
        <f t="shared" si="10"/>
        <v>266.2839562</v>
      </c>
      <c r="N93" s="69">
        <f t="shared" si="11"/>
        <v>267.5008229</v>
      </c>
      <c r="O93" s="24">
        <v>447.0</v>
      </c>
      <c r="P93" s="6">
        <f t="shared" si="12"/>
        <v>447</v>
      </c>
      <c r="Q93" s="69">
        <f t="shared" si="13"/>
        <v>476.6575968</v>
      </c>
      <c r="R93" s="69">
        <f t="shared" si="14"/>
        <v>476.8584424</v>
      </c>
      <c r="S93" s="69">
        <f t="shared" si="15"/>
        <v>477.0592879</v>
      </c>
    </row>
    <row r="94">
      <c r="A94" s="24">
        <v>2.611606074E9</v>
      </c>
      <c r="B94" s="24" t="s">
        <v>131</v>
      </c>
      <c r="C94" s="24">
        <v>766.0</v>
      </c>
      <c r="D94" s="69">
        <f t="shared" si="1"/>
        <v>775.5309333</v>
      </c>
      <c r="E94" s="69">
        <f t="shared" si="2"/>
        <v>779.8049597</v>
      </c>
      <c r="F94" s="69">
        <f t="shared" si="3"/>
        <v>802.1073237</v>
      </c>
      <c r="G94" s="69">
        <f t="shared" si="4"/>
        <v>806.6080144</v>
      </c>
      <c r="H94" s="69">
        <f t="shared" si="5"/>
        <v>810.9682935</v>
      </c>
      <c r="I94" s="69">
        <f t="shared" si="6"/>
        <v>815.1806391</v>
      </c>
      <c r="J94" s="69">
        <f t="shared" si="7"/>
        <v>819.2495643</v>
      </c>
      <c r="K94" s="69">
        <f t="shared" si="8"/>
        <v>821.3241445</v>
      </c>
      <c r="L94" s="69">
        <f t="shared" si="9"/>
        <v>825.282245</v>
      </c>
      <c r="M94" s="69">
        <f t="shared" si="10"/>
        <v>829.1606117</v>
      </c>
      <c r="N94" s="69">
        <f t="shared" si="11"/>
        <v>832.9497169</v>
      </c>
      <c r="O94" s="24">
        <v>1819.0</v>
      </c>
      <c r="P94" s="6">
        <f t="shared" si="12"/>
        <v>1819</v>
      </c>
      <c r="Q94" s="69">
        <f t="shared" si="13"/>
        <v>1939.687178</v>
      </c>
      <c r="R94" s="69">
        <f t="shared" si="14"/>
        <v>1940.504489</v>
      </c>
      <c r="S94" s="69">
        <f t="shared" si="15"/>
        <v>1941.3218</v>
      </c>
    </row>
    <row r="95">
      <c r="A95" s="24">
        <v>2.611606001E9</v>
      </c>
      <c r="B95" s="24" t="s">
        <v>132</v>
      </c>
      <c r="C95" s="24">
        <v>0.0</v>
      </c>
      <c r="D95" s="69">
        <f t="shared" si="1"/>
        <v>0</v>
      </c>
      <c r="E95" s="69">
        <f t="shared" si="2"/>
        <v>0</v>
      </c>
      <c r="F95" s="69">
        <f t="shared" si="3"/>
        <v>0</v>
      </c>
      <c r="G95" s="69">
        <f t="shared" si="4"/>
        <v>0</v>
      </c>
      <c r="H95" s="69">
        <f t="shared" si="5"/>
        <v>0</v>
      </c>
      <c r="I95" s="69">
        <f t="shared" si="6"/>
        <v>0</v>
      </c>
      <c r="J95" s="69">
        <f t="shared" si="7"/>
        <v>0</v>
      </c>
      <c r="K95" s="69">
        <f t="shared" si="8"/>
        <v>0</v>
      </c>
      <c r="L95" s="69">
        <f t="shared" si="9"/>
        <v>0</v>
      </c>
      <c r="M95" s="69">
        <f t="shared" si="10"/>
        <v>0</v>
      </c>
      <c r="N95" s="69">
        <f t="shared" si="11"/>
        <v>0</v>
      </c>
      <c r="O95" s="24">
        <v>541.0</v>
      </c>
      <c r="P95" s="6">
        <f t="shared" si="12"/>
        <v>541</v>
      </c>
      <c r="Q95" s="69">
        <f t="shared" si="13"/>
        <v>576.8943174</v>
      </c>
      <c r="R95" s="69">
        <f t="shared" si="14"/>
        <v>577.1373989</v>
      </c>
      <c r="S95" s="69">
        <f t="shared" si="15"/>
        <v>577.3804805</v>
      </c>
    </row>
    <row r="96">
      <c r="A96" s="6"/>
      <c r="B96" s="32"/>
      <c r="C96" s="64">
        <f t="shared" ref="C96:R96" si="16">SUM(C2:C95)</f>
        <v>1527510</v>
      </c>
      <c r="D96" s="69">
        <f t="shared" si="16"/>
        <v>1546516</v>
      </c>
      <c r="E96" s="69">
        <f t="shared" si="16"/>
        <v>1555039</v>
      </c>
      <c r="F96" s="69">
        <f t="shared" si="16"/>
        <v>1599513</v>
      </c>
      <c r="G96" s="69">
        <f t="shared" si="16"/>
        <v>1608488</v>
      </c>
      <c r="H96" s="69">
        <f t="shared" si="16"/>
        <v>1617183</v>
      </c>
      <c r="I96" s="69">
        <f t="shared" si="16"/>
        <v>1625583</v>
      </c>
      <c r="J96" s="69">
        <f t="shared" si="16"/>
        <v>1633697</v>
      </c>
      <c r="K96" s="69">
        <f t="shared" si="16"/>
        <v>1637834</v>
      </c>
      <c r="L96" s="69">
        <f t="shared" si="16"/>
        <v>1645727</v>
      </c>
      <c r="M96" s="69">
        <f t="shared" si="16"/>
        <v>1653461</v>
      </c>
      <c r="N96" s="69">
        <f t="shared" si="16"/>
        <v>1661017</v>
      </c>
      <c r="O96" s="6">
        <f t="shared" si="16"/>
        <v>1488920</v>
      </c>
      <c r="P96" s="6">
        <f t="shared" si="16"/>
        <v>1488920</v>
      </c>
      <c r="Q96" s="69">
        <f t="shared" si="16"/>
        <v>1587707</v>
      </c>
      <c r="R96" s="69">
        <f t="shared" si="16"/>
        <v>1588376</v>
      </c>
      <c r="S96" s="69">
        <f t="shared" si="15"/>
        <v>1589045</v>
      </c>
      <c r="T96" s="6"/>
      <c r="U96" s="6"/>
      <c r="V96" s="6"/>
      <c r="W96" s="6"/>
      <c r="X96" s="6"/>
      <c r="Y96" s="6"/>
      <c r="Z96" s="6"/>
    </row>
    <row r="97">
      <c r="A97" s="6"/>
      <c r="B97" s="32"/>
      <c r="C97" s="4">
        <v>1527510.0</v>
      </c>
      <c r="D97" s="2">
        <v>1546516.0</v>
      </c>
      <c r="E97" s="2">
        <v>1555039.0</v>
      </c>
      <c r="F97" s="2">
        <v>1599513.0</v>
      </c>
      <c r="G97" s="2">
        <v>1608488.0</v>
      </c>
      <c r="H97" s="2">
        <v>1617183.0</v>
      </c>
      <c r="I97" s="2">
        <v>1625583.0</v>
      </c>
      <c r="J97" s="2">
        <v>1633697.0</v>
      </c>
      <c r="K97" s="2">
        <v>1637834.0</v>
      </c>
      <c r="L97" s="2">
        <v>1645727.0</v>
      </c>
      <c r="M97" s="2">
        <v>1653461.0</v>
      </c>
      <c r="N97" s="2">
        <v>1661017.0</v>
      </c>
      <c r="O97" s="4">
        <v>1488920.0</v>
      </c>
      <c r="P97" s="4">
        <v>1488920.0</v>
      </c>
      <c r="Q97" s="2">
        <v>1587707.0</v>
      </c>
      <c r="R97" s="2">
        <v>1588376.0</v>
      </c>
      <c r="S97" s="2">
        <v>1589045.0</v>
      </c>
      <c r="T97" s="6"/>
      <c r="U97" s="6"/>
      <c r="V97" s="6"/>
      <c r="W97" s="6"/>
      <c r="X97" s="6"/>
      <c r="Y97" s="6"/>
      <c r="Z97" s="6"/>
    </row>
    <row r="98">
      <c r="B98" s="32"/>
      <c r="C98" s="2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>
      <c r="B99" s="32"/>
      <c r="C99" s="2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>
      <c r="B100" s="32"/>
      <c r="C100" s="2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B101" s="32"/>
      <c r="C101" s="2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>
      <c r="B102" s="32"/>
      <c r="C102" s="2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>
      <c r="B103" s="32"/>
      <c r="C103" s="2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>
      <c r="B104" s="32"/>
      <c r="C104" s="2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B105" s="32"/>
      <c r="C105" s="2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>
      <c r="B106" s="32"/>
      <c r="C106" s="2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>
      <c r="B107" s="32"/>
      <c r="C107" s="2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>
      <c r="B108" s="32"/>
      <c r="C108" s="2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B109" s="32"/>
      <c r="C109" s="2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>
      <c r="B110" s="32"/>
      <c r="C110" s="2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>
      <c r="B111" s="32"/>
      <c r="C111" s="2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>
      <c r="B112" s="32"/>
      <c r="C112" s="2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B113" s="32"/>
      <c r="C113" s="2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>
      <c r="B114" s="32"/>
      <c r="C114" s="2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>
      <c r="B115" s="32"/>
      <c r="C115" s="2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>
      <c r="B116" s="32"/>
      <c r="C116" s="24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B117" s="32"/>
      <c r="C117" s="24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>
      <c r="B118" s="32"/>
      <c r="C118" s="2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>
      <c r="B119" s="32"/>
      <c r="C119" s="2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>
      <c r="B120" s="32"/>
      <c r="C120" s="2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B121" s="32"/>
      <c r="C121" s="2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>
      <c r="B122" s="32"/>
      <c r="C122" s="2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>
      <c r="B123" s="32"/>
      <c r="C123" s="2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>
      <c r="B124" s="32"/>
      <c r="C124" s="2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B125" s="32"/>
      <c r="C125" s="2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>
      <c r="B126" s="32"/>
      <c r="C126" s="2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>
      <c r="B127" s="32"/>
      <c r="C127" s="2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>
      <c r="B128" s="32"/>
      <c r="C128" s="2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B129" s="32"/>
      <c r="C129" s="2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>
      <c r="B130" s="32"/>
      <c r="C130" s="2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>
      <c r="B131" s="32"/>
      <c r="C131" s="2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>
      <c r="B132" s="32"/>
      <c r="C132" s="2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B133" s="32"/>
      <c r="C133" s="2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B134" s="32"/>
      <c r="C134" s="2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B135" s="32"/>
      <c r="C135" s="2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B136" s="32"/>
      <c r="C136" s="2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B137" s="32"/>
      <c r="C137" s="2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B138" s="32"/>
      <c r="C138" s="2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B139" s="32"/>
      <c r="C139" s="2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B140" s="32"/>
      <c r="C140" s="2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B141" s="32"/>
      <c r="C141" s="2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B142" s="32"/>
      <c r="C142" s="2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B143" s="32"/>
      <c r="C143" s="2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B144" s="32"/>
      <c r="C144" s="2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B145" s="32"/>
      <c r="C145" s="2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B146" s="32"/>
      <c r="C146" s="2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B147" s="32"/>
      <c r="C147" s="2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B148" s="32"/>
      <c r="C148" s="2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B149" s="32"/>
      <c r="C149" s="2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B150" s="32"/>
      <c r="C150" s="2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B151" s="32"/>
      <c r="C151" s="2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B152" s="32"/>
      <c r="C152" s="2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B153" s="32"/>
      <c r="C153" s="2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B154" s="32"/>
      <c r="C154" s="2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B155" s="32"/>
      <c r="C155" s="2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B156" s="32"/>
      <c r="C156" s="2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B157" s="32"/>
      <c r="C157" s="2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B158" s="32"/>
      <c r="C158" s="2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B159" s="32"/>
      <c r="C159" s="2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B160" s="32"/>
      <c r="C160" s="2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B161" s="32"/>
      <c r="C161" s="2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B162" s="32"/>
      <c r="C162" s="2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B163" s="32"/>
      <c r="C163" s="2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B164" s="32"/>
      <c r="C164" s="2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B165" s="32"/>
      <c r="C165" s="2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B166" s="32"/>
      <c r="C166" s="2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B167" s="32"/>
      <c r="C167" s="2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B168" s="32"/>
      <c r="C168" s="2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B169" s="32"/>
      <c r="C169" s="2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B170" s="32"/>
      <c r="C170" s="2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B171" s="32"/>
      <c r="C171" s="2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B172" s="32"/>
      <c r="C172" s="2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B173" s="32"/>
      <c r="C173" s="2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B174" s="32"/>
      <c r="C174" s="2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B175" s="32"/>
      <c r="C175" s="2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B176" s="32"/>
      <c r="C176" s="2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B177" s="32"/>
      <c r="C177" s="2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B178" s="32"/>
      <c r="C178" s="2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B179" s="32"/>
      <c r="C179" s="2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B180" s="32"/>
      <c r="C180" s="2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B181" s="32"/>
      <c r="C181" s="2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B182" s="32"/>
      <c r="C182" s="2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B183" s="32"/>
      <c r="C183" s="2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B184" s="32"/>
      <c r="C184" s="2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B185" s="32"/>
      <c r="C185" s="2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B186" s="32"/>
      <c r="C186" s="2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B187" s="32"/>
      <c r="C187" s="2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B188" s="32"/>
      <c r="C188" s="2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B189" s="32"/>
      <c r="C189" s="2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B190" s="32"/>
      <c r="C190" s="2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B191" s="32"/>
      <c r="C191" s="2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B192" s="32"/>
      <c r="C192" s="2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B193" s="32"/>
      <c r="C193" s="2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B194" s="32"/>
      <c r="C194" s="2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B195" s="32"/>
      <c r="C195" s="2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B196" s="32"/>
      <c r="C196" s="2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B197" s="32"/>
      <c r="C197" s="2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B198" s="32"/>
      <c r="C198" s="2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B199" s="32"/>
      <c r="C199" s="2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B200" s="32"/>
      <c r="C200" s="2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B201" s="32"/>
      <c r="C201" s="2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B202" s="32"/>
      <c r="C202" s="2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B203" s="32"/>
      <c r="C203" s="2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B204" s="32"/>
      <c r="C204" s="2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B205" s="32"/>
      <c r="C205" s="2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B206" s="32"/>
      <c r="C206" s="2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B207" s="32"/>
      <c r="C207" s="2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B208" s="32"/>
      <c r="C208" s="2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B209" s="32"/>
      <c r="C209" s="2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B210" s="32"/>
      <c r="C210" s="2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>
      <c r="B211" s="32"/>
      <c r="C211" s="2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>
      <c r="B212" s="32"/>
      <c r="C212" s="2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>
      <c r="B213" s="32"/>
      <c r="C213" s="2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>
      <c r="B214" s="32"/>
      <c r="C214" s="2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>
      <c r="B215" s="32"/>
      <c r="C215" s="2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>
      <c r="B216" s="32"/>
      <c r="C216" s="2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>
      <c r="B217" s="32"/>
      <c r="C217" s="2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>
      <c r="B218" s="32"/>
      <c r="C218" s="2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>
      <c r="B219" s="32"/>
      <c r="C219" s="2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>
      <c r="B220" s="32"/>
      <c r="C220" s="2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>
      <c r="B221" s="32"/>
      <c r="C221" s="2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>
      <c r="B222" s="32"/>
      <c r="C222" s="2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>
      <c r="B223" s="32"/>
      <c r="C223" s="2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>
      <c r="B224" s="32"/>
      <c r="C224" s="2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>
      <c r="B225" s="32"/>
      <c r="C225" s="2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>
      <c r="B226" s="32"/>
      <c r="C226" s="2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>
      <c r="B227" s="32"/>
      <c r="C227" s="2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>
      <c r="B228" s="32"/>
      <c r="C228" s="2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>
      <c r="B229" s="32"/>
      <c r="C229" s="2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>
      <c r="B230" s="32"/>
      <c r="C230" s="2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>
      <c r="B231" s="32"/>
      <c r="C231" s="2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>
      <c r="B232" s="32"/>
      <c r="C232" s="2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>
      <c r="B233" s="32"/>
      <c r="C233" s="2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>
      <c r="B234" s="32"/>
      <c r="C234" s="2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>
      <c r="B235" s="32"/>
      <c r="C235" s="2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>
      <c r="B236" s="32"/>
      <c r="C236" s="2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>
      <c r="B237" s="32"/>
      <c r="C237" s="2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>
      <c r="B238" s="32"/>
      <c r="C238" s="2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>
      <c r="B239" s="32"/>
      <c r="C239" s="2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>
      <c r="B240" s="32"/>
      <c r="C240" s="2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>
      <c r="B241" s="32"/>
      <c r="C241" s="2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>
      <c r="B242" s="32"/>
      <c r="C242" s="2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>
      <c r="B243" s="32"/>
      <c r="C243" s="2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>
      <c r="B244" s="32"/>
      <c r="C244" s="2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>
      <c r="B245" s="32"/>
      <c r="C245" s="2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>
      <c r="B246" s="32"/>
      <c r="C246" s="2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>
      <c r="B247" s="32"/>
      <c r="C247" s="2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>
      <c r="B248" s="32"/>
      <c r="C248" s="2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>
      <c r="B249" s="32"/>
      <c r="C249" s="2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>
      <c r="B250" s="32"/>
      <c r="C250" s="2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>
      <c r="B251" s="32"/>
      <c r="C251" s="2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>
      <c r="B252" s="32"/>
      <c r="C252" s="2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>
      <c r="B253" s="32"/>
      <c r="C253" s="2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>
      <c r="B254" s="32"/>
      <c r="C254" s="2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>
      <c r="B255" s="32"/>
      <c r="C255" s="2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>
      <c r="B256" s="32"/>
      <c r="C256" s="2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>
      <c r="B257" s="32"/>
      <c r="C257" s="2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>
      <c r="B258" s="32"/>
      <c r="C258" s="2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>
      <c r="B259" s="32"/>
      <c r="C259" s="2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>
      <c r="B260" s="32"/>
      <c r="C260" s="2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>
      <c r="B261" s="32"/>
      <c r="C261" s="2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>
      <c r="B262" s="32"/>
      <c r="C262" s="2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>
      <c r="B263" s="32"/>
      <c r="C263" s="2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>
      <c r="B264" s="32"/>
      <c r="C264" s="2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>
      <c r="B265" s="32"/>
      <c r="C265" s="2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>
      <c r="B266" s="32"/>
      <c r="C266" s="2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>
      <c r="B267" s="32"/>
      <c r="C267" s="2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>
      <c r="B268" s="32"/>
      <c r="C268" s="2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B269" s="32"/>
      <c r="C269" s="2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>
      <c r="B270" s="32"/>
      <c r="C270" s="2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>
      <c r="B271" s="32"/>
      <c r="C271" s="2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>
      <c r="B272" s="32"/>
      <c r="C272" s="2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>
      <c r="B273" s="32"/>
      <c r="C273" s="2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>
      <c r="B274" s="32"/>
      <c r="C274" s="2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>
      <c r="B275" s="32"/>
      <c r="C275" s="2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>
      <c r="B276" s="32"/>
      <c r="C276" s="2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>
      <c r="B277" s="32"/>
      <c r="C277" s="2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>
      <c r="B278" s="32"/>
      <c r="C278" s="2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>
      <c r="B279" s="32"/>
      <c r="C279" s="2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>
      <c r="B280" s="32"/>
      <c r="C280" s="2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>
      <c r="B281" s="32"/>
      <c r="C281" s="2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>
      <c r="B282" s="32"/>
      <c r="C282" s="2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>
      <c r="B283" s="32"/>
      <c r="C283" s="2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>
      <c r="B284" s="32"/>
      <c r="C284" s="2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>
      <c r="B285" s="32"/>
      <c r="C285" s="2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>
      <c r="B286" s="32"/>
      <c r="C286" s="2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>
      <c r="B287" s="32"/>
      <c r="C287" s="2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>
      <c r="B288" s="32"/>
      <c r="C288" s="2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>
      <c r="B289" s="32"/>
      <c r="C289" s="2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>
      <c r="B290" s="32"/>
      <c r="C290" s="2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>
      <c r="B291" s="32"/>
      <c r="C291" s="2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>
      <c r="B292" s="32"/>
      <c r="C292" s="2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>
      <c r="B293" s="32"/>
      <c r="C293" s="2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>
      <c r="B294" s="32"/>
      <c r="C294" s="2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>
      <c r="B295" s="32"/>
      <c r="C295" s="2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>
      <c r="B296" s="32"/>
      <c r="C296" s="2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>
      <c r="B297" s="32"/>
      <c r="C297" s="2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>
      <c r="B298" s="32"/>
      <c r="C298" s="2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>
      <c r="B299" s="32"/>
      <c r="C299" s="3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>
      <c r="B300" s="32"/>
      <c r="C300" s="3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>
      <c r="B301" s="32"/>
      <c r="C301" s="3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>
      <c r="B302" s="32"/>
      <c r="C302" s="3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>
      <c r="B303" s="32"/>
      <c r="C303" s="3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>
      <c r="B304" s="32"/>
      <c r="C304" s="3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>
      <c r="B305" s="32"/>
      <c r="C305" s="3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>
      <c r="B306" s="32"/>
      <c r="C306" s="3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>
      <c r="B307" s="32"/>
      <c r="C307" s="3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>
      <c r="B308" s="32"/>
      <c r="C308" s="3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>
      <c r="B309" s="32"/>
      <c r="C309" s="3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>
      <c r="B310" s="32"/>
      <c r="C310" s="3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>
      <c r="B311" s="32"/>
      <c r="C311" s="3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>
      <c r="B312" s="32"/>
      <c r="C312" s="3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>
      <c r="B313" s="32"/>
      <c r="C313" s="3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>
      <c r="B314" s="32"/>
      <c r="C314" s="3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>
      <c r="B315" s="32"/>
      <c r="C315" s="3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>
      <c r="B316" s="32"/>
      <c r="C316" s="3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>
      <c r="B317" s="32"/>
      <c r="C317" s="3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>
      <c r="B318" s="32"/>
      <c r="C318" s="3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>
      <c r="B319" s="32"/>
      <c r="C319" s="3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>
      <c r="B320" s="32"/>
      <c r="C320" s="3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>
      <c r="B321" s="32"/>
      <c r="C321" s="3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>
      <c r="B322" s="32"/>
      <c r="C322" s="3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>
      <c r="B323" s="32"/>
      <c r="C323" s="3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>
      <c r="B324" s="32"/>
      <c r="C324" s="3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>
      <c r="B325" s="32"/>
      <c r="C325" s="3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>
      <c r="B326" s="32"/>
      <c r="C326" s="3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>
      <c r="B327" s="32"/>
      <c r="C327" s="3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>
      <c r="B328" s="32"/>
      <c r="C328" s="3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>
      <c r="B329" s="32"/>
      <c r="C329" s="3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>
      <c r="B330" s="32"/>
      <c r="C330" s="3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>
      <c r="B331" s="32"/>
      <c r="C331" s="3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>
      <c r="B332" s="32"/>
      <c r="C332" s="3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>
      <c r="B333" s="32"/>
      <c r="C333" s="3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>
      <c r="B334" s="32"/>
      <c r="C334" s="3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>
      <c r="B335" s="32"/>
      <c r="C335" s="3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>
      <c r="B336" s="32"/>
      <c r="C336" s="3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>
      <c r="B337" s="32"/>
      <c r="C337" s="3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>
      <c r="B338" s="32"/>
      <c r="C338" s="3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>
      <c r="B339" s="32"/>
      <c r="C339" s="3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>
      <c r="B340" s="32"/>
      <c r="C340" s="3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>
      <c r="B341" s="32"/>
      <c r="C341" s="3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>
      <c r="B342" s="32"/>
      <c r="C342" s="3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>
      <c r="B343" s="32"/>
      <c r="C343" s="3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>
      <c r="B344" s="32"/>
      <c r="C344" s="3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>
      <c r="B345" s="32"/>
      <c r="C345" s="3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>
      <c r="B346" s="32"/>
      <c r="C346" s="3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>
      <c r="B347" s="32"/>
      <c r="C347" s="3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>
      <c r="B348" s="32"/>
      <c r="C348" s="3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>
      <c r="B349" s="32"/>
      <c r="C349" s="3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>
      <c r="B350" s="32"/>
      <c r="C350" s="3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>
      <c r="B351" s="32"/>
      <c r="C351" s="3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>
      <c r="B352" s="32"/>
      <c r="C352" s="3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>
      <c r="B353" s="32"/>
      <c r="C353" s="3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>
      <c r="B354" s="32"/>
      <c r="C354" s="3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>
      <c r="B355" s="32"/>
      <c r="C355" s="3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>
      <c r="B356" s="32"/>
      <c r="C356" s="3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>
      <c r="B357" s="32"/>
      <c r="C357" s="3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>
      <c r="B358" s="32"/>
      <c r="C358" s="3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>
      <c r="B359" s="32"/>
      <c r="C359" s="3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>
      <c r="B360" s="32"/>
      <c r="C360" s="3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>
      <c r="B361" s="32"/>
      <c r="C361" s="3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>
      <c r="B362" s="32"/>
      <c r="C362" s="3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>
      <c r="B363" s="32"/>
      <c r="C363" s="3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>
      <c r="B364" s="32"/>
      <c r="C364" s="3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>
      <c r="B365" s="32"/>
      <c r="C365" s="3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>
      <c r="B366" s="32"/>
      <c r="C366" s="3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>
      <c r="B367" s="32"/>
      <c r="C367" s="3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>
      <c r="B368" s="32"/>
      <c r="C368" s="3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>
      <c r="B369" s="32"/>
      <c r="C369" s="3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>
      <c r="B370" s="32"/>
      <c r="C370" s="3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>
      <c r="B371" s="32"/>
      <c r="C371" s="3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>
      <c r="B372" s="32"/>
      <c r="C372" s="3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>
      <c r="B373" s="32"/>
      <c r="C373" s="3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>
      <c r="B374" s="32"/>
      <c r="C374" s="3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>
      <c r="B375" s="32"/>
      <c r="C375" s="3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>
      <c r="B376" s="32"/>
      <c r="C376" s="3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>
      <c r="B377" s="32"/>
      <c r="C377" s="3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>
      <c r="B378" s="32"/>
      <c r="C378" s="3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>
      <c r="B379" s="32"/>
      <c r="C379" s="3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>
      <c r="B380" s="32"/>
      <c r="C380" s="3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>
      <c r="B381" s="32"/>
      <c r="C381" s="3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>
      <c r="B382" s="32"/>
      <c r="C382" s="3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>
      <c r="B383" s="32"/>
      <c r="C383" s="3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>
      <c r="B384" s="32"/>
      <c r="C384" s="3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>
      <c r="B385" s="32"/>
      <c r="C385" s="3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>
      <c r="B386" s="32"/>
      <c r="C386" s="3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>
      <c r="B387" s="32"/>
      <c r="C387" s="3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>
      <c r="B388" s="32"/>
      <c r="C388" s="3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>
      <c r="B389" s="32"/>
      <c r="C389" s="3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>
      <c r="B390" s="32"/>
      <c r="C390" s="3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>
      <c r="B391" s="32"/>
      <c r="C391" s="3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>
      <c r="B392" s="32"/>
      <c r="C392" s="3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>
      <c r="B393" s="32"/>
      <c r="C393" s="3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>
      <c r="B394" s="32"/>
      <c r="C394" s="3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>
      <c r="B395" s="32"/>
      <c r="C395" s="3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>
      <c r="B396" s="32"/>
      <c r="C396" s="3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>
      <c r="B397" s="32"/>
      <c r="C397" s="3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>
      <c r="B398" s="32"/>
      <c r="C398" s="3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>
      <c r="B399" s="32"/>
      <c r="C399" s="3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>
      <c r="B400" s="32"/>
      <c r="C400" s="3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>
      <c r="B401" s="32"/>
      <c r="C401" s="3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>
      <c r="B402" s="32"/>
      <c r="C402" s="3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>
      <c r="B403" s="32"/>
      <c r="C403" s="3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>
      <c r="B404" s="32"/>
      <c r="C404" s="3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>
      <c r="B405" s="32"/>
      <c r="C405" s="3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>
      <c r="B406" s="32"/>
      <c r="C406" s="3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>
      <c r="B407" s="32"/>
      <c r="C407" s="3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>
      <c r="B408" s="32"/>
      <c r="C408" s="3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>
      <c r="B409" s="32"/>
      <c r="C409" s="3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>
      <c r="B410" s="32"/>
      <c r="C410" s="3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>
      <c r="B411" s="32"/>
      <c r="C411" s="3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>
      <c r="B412" s="32"/>
      <c r="C412" s="3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>
      <c r="B413" s="32"/>
      <c r="C413" s="3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>
      <c r="B414" s="32"/>
      <c r="C414" s="3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>
      <c r="B415" s="32"/>
      <c r="C415" s="3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>
      <c r="B416" s="32"/>
      <c r="C416" s="3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>
      <c r="B417" s="32"/>
      <c r="C417" s="3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>
      <c r="B418" s="32"/>
      <c r="C418" s="3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>
      <c r="B419" s="32"/>
      <c r="C419" s="3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>
      <c r="B420" s="32"/>
      <c r="C420" s="3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>
      <c r="B421" s="32"/>
      <c r="C421" s="3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>
      <c r="B422" s="32"/>
      <c r="C422" s="3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>
      <c r="B423" s="32"/>
      <c r="C423" s="3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>
      <c r="B424" s="32"/>
      <c r="C424" s="3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>
      <c r="B425" s="32"/>
      <c r="C425" s="3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>
      <c r="B426" s="32"/>
      <c r="C426" s="3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>
      <c r="B427" s="32"/>
      <c r="C427" s="3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>
      <c r="B428" s="32"/>
      <c r="C428" s="3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>
      <c r="B429" s="32"/>
      <c r="C429" s="3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>
      <c r="B430" s="32"/>
      <c r="C430" s="3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>
      <c r="B431" s="32"/>
      <c r="C431" s="3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>
      <c r="B432" s="32"/>
      <c r="C432" s="3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>
      <c r="B433" s="32"/>
      <c r="C433" s="3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>
      <c r="B434" s="32"/>
      <c r="C434" s="3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>
      <c r="B435" s="32"/>
      <c r="C435" s="3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>
      <c r="B436" s="32"/>
      <c r="C436" s="3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>
      <c r="B437" s="32"/>
      <c r="C437" s="3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>
      <c r="B438" s="32"/>
      <c r="C438" s="3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>
      <c r="B439" s="32"/>
      <c r="C439" s="3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>
      <c r="B440" s="32"/>
      <c r="C440" s="3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>
      <c r="B441" s="32"/>
      <c r="C441" s="3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>
      <c r="B442" s="32"/>
      <c r="C442" s="3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>
      <c r="B443" s="32"/>
      <c r="C443" s="3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>
      <c r="B444" s="32"/>
      <c r="C444" s="3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>
      <c r="B445" s="32"/>
      <c r="C445" s="3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>
      <c r="B446" s="32"/>
      <c r="C446" s="3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>
      <c r="B447" s="32"/>
      <c r="C447" s="3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>
      <c r="B448" s="32"/>
      <c r="C448" s="3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>
      <c r="B449" s="32"/>
      <c r="C449" s="3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>
      <c r="B450" s="32"/>
      <c r="C450" s="3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>
      <c r="B451" s="32"/>
      <c r="C451" s="3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>
      <c r="B452" s="32"/>
      <c r="C452" s="3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>
      <c r="B453" s="32"/>
      <c r="C453" s="3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>
      <c r="B454" s="32"/>
      <c r="C454" s="3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>
      <c r="B455" s="32"/>
      <c r="C455" s="3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>
      <c r="B456" s="32"/>
      <c r="C456" s="3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>
      <c r="B457" s="32"/>
      <c r="C457" s="3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>
      <c r="B458" s="32"/>
      <c r="C458" s="3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>
      <c r="B459" s="32"/>
      <c r="C459" s="3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>
      <c r="B460" s="32"/>
      <c r="C460" s="3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>
      <c r="B461" s="32"/>
      <c r="C461" s="3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>
      <c r="B462" s="32"/>
      <c r="C462" s="3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>
      <c r="B463" s="32"/>
      <c r="C463" s="3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>
      <c r="B464" s="32"/>
      <c r="C464" s="3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>
      <c r="B465" s="32"/>
      <c r="C465" s="3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>
      <c r="B466" s="32"/>
      <c r="C466" s="3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>
      <c r="B467" s="32"/>
      <c r="C467" s="3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>
      <c r="B468" s="32"/>
      <c r="C468" s="3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>
      <c r="B469" s="32"/>
      <c r="C469" s="3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>
      <c r="B470" s="32"/>
      <c r="C470" s="3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>
      <c r="B471" s="32"/>
      <c r="C471" s="3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>
      <c r="B472" s="32"/>
      <c r="C472" s="3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>
      <c r="B473" s="32"/>
      <c r="C473" s="3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>
      <c r="B474" s="32"/>
      <c r="C474" s="3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>
      <c r="B475" s="32"/>
      <c r="C475" s="3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>
      <c r="B476" s="32"/>
      <c r="C476" s="3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>
      <c r="B477" s="32"/>
      <c r="C477" s="3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>
      <c r="B478" s="32"/>
      <c r="C478" s="3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>
      <c r="B479" s="32"/>
      <c r="C479" s="3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>
      <c r="B480" s="32"/>
      <c r="C480" s="3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>
      <c r="B481" s="32"/>
      <c r="C481" s="3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>
      <c r="B482" s="32"/>
      <c r="C482" s="3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>
      <c r="B483" s="32"/>
      <c r="C483" s="3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>
      <c r="B484" s="32"/>
      <c r="C484" s="3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>
      <c r="B485" s="32"/>
      <c r="C485" s="3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>
      <c r="B486" s="32"/>
      <c r="C486" s="3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>
      <c r="B487" s="32"/>
      <c r="C487" s="3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>
      <c r="B488" s="32"/>
      <c r="C488" s="3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>
      <c r="B489" s="32"/>
      <c r="C489" s="3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>
      <c r="B490" s="32"/>
      <c r="C490" s="3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>
      <c r="B491" s="32"/>
      <c r="C491" s="3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>
      <c r="B492" s="32"/>
      <c r="C492" s="3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>
      <c r="B493" s="32"/>
      <c r="C493" s="3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>
      <c r="B494" s="32"/>
      <c r="C494" s="3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>
      <c r="B495" s="32"/>
      <c r="C495" s="3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>
      <c r="B496" s="32"/>
      <c r="C496" s="3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>
      <c r="B497" s="32"/>
      <c r="C497" s="3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>
      <c r="B498" s="32"/>
      <c r="C498" s="3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>
      <c r="B499" s="32"/>
      <c r="C499" s="3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>
      <c r="B500" s="32"/>
      <c r="C500" s="3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>
      <c r="B501" s="32"/>
      <c r="C501" s="3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>
      <c r="B502" s="32"/>
      <c r="C502" s="3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>
      <c r="B503" s="32"/>
      <c r="C503" s="3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>
      <c r="B504" s="32"/>
      <c r="C504" s="3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>
      <c r="B505" s="32"/>
      <c r="C505" s="3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>
      <c r="B506" s="32"/>
      <c r="C506" s="3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>
      <c r="B507" s="32"/>
      <c r="C507" s="3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>
      <c r="B508" s="32"/>
      <c r="C508" s="3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>
      <c r="B509" s="32"/>
      <c r="C509" s="3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>
      <c r="B510" s="32"/>
      <c r="C510" s="3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>
      <c r="B511" s="32"/>
      <c r="C511" s="3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>
      <c r="B512" s="32"/>
      <c r="C512" s="3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>
      <c r="B513" s="32"/>
      <c r="C513" s="3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>
      <c r="B514" s="32"/>
      <c r="C514" s="3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>
      <c r="B515" s="32"/>
      <c r="C515" s="3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>
      <c r="B516" s="32"/>
      <c r="C516" s="3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>
      <c r="B517" s="32"/>
      <c r="C517" s="3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>
      <c r="B518" s="32"/>
      <c r="C518" s="3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>
      <c r="B519" s="32"/>
      <c r="C519" s="3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>
      <c r="B520" s="32"/>
      <c r="C520" s="3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>
      <c r="B521" s="32"/>
      <c r="C521" s="3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>
      <c r="B522" s="32"/>
      <c r="C522" s="3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>
      <c r="B523" s="32"/>
      <c r="C523" s="3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>
      <c r="B524" s="32"/>
      <c r="C524" s="3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>
      <c r="B525" s="32"/>
      <c r="C525" s="3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>
      <c r="B526" s="32"/>
      <c r="C526" s="3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>
      <c r="B527" s="32"/>
      <c r="C527" s="3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>
      <c r="B528" s="32"/>
      <c r="C528" s="3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>
      <c r="B529" s="32"/>
      <c r="C529" s="3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>
      <c r="B530" s="32"/>
      <c r="C530" s="3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>
      <c r="B531" s="32"/>
      <c r="C531" s="3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>
      <c r="B532" s="32"/>
      <c r="C532" s="3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>
      <c r="B533" s="32"/>
      <c r="C533" s="3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>
      <c r="B534" s="32"/>
      <c r="C534" s="3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>
      <c r="B535" s="32"/>
      <c r="C535" s="3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>
      <c r="B536" s="32"/>
      <c r="C536" s="3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>
      <c r="B537" s="32"/>
      <c r="C537" s="3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>
      <c r="B538" s="32"/>
      <c r="C538" s="3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>
      <c r="B539" s="32"/>
      <c r="C539" s="3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>
      <c r="B540" s="32"/>
      <c r="C540" s="3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>
      <c r="B541" s="32"/>
      <c r="C541" s="3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>
      <c r="B542" s="32"/>
      <c r="C542" s="3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>
      <c r="B543" s="32"/>
      <c r="C543" s="3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>
      <c r="B544" s="32"/>
      <c r="C544" s="3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>
      <c r="B545" s="32"/>
      <c r="C545" s="3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>
      <c r="B546" s="32"/>
      <c r="C546" s="3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>
      <c r="B547" s="32"/>
      <c r="C547" s="3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>
      <c r="B548" s="32"/>
      <c r="C548" s="3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>
      <c r="B549" s="32"/>
      <c r="C549" s="3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>
      <c r="B550" s="32"/>
      <c r="C550" s="3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>
      <c r="B551" s="32"/>
      <c r="C551" s="3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>
      <c r="B552" s="32"/>
      <c r="C552" s="3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>
      <c r="B553" s="32"/>
      <c r="C553" s="3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>
      <c r="B554" s="32"/>
      <c r="C554" s="3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>
      <c r="B555" s="32"/>
      <c r="C555" s="3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>
      <c r="B556" s="32"/>
      <c r="C556" s="3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>
      <c r="B557" s="32"/>
      <c r="C557" s="3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>
      <c r="B558" s="32"/>
      <c r="C558" s="3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>
      <c r="B559" s="32"/>
      <c r="C559" s="3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>
      <c r="B560" s="32"/>
      <c r="C560" s="3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>
      <c r="B561" s="32"/>
      <c r="C561" s="3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>
      <c r="B562" s="32"/>
      <c r="C562" s="3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>
      <c r="B563" s="32"/>
      <c r="C563" s="3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>
      <c r="B564" s="32"/>
      <c r="C564" s="3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>
      <c r="B565" s="32"/>
      <c r="C565" s="3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>
      <c r="B566" s="32"/>
      <c r="C566" s="3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>
      <c r="B567" s="32"/>
      <c r="C567" s="3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>
      <c r="B568" s="32"/>
      <c r="C568" s="3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>
      <c r="B569" s="32"/>
      <c r="C569" s="3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>
      <c r="B570" s="32"/>
      <c r="C570" s="3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>
      <c r="B571" s="32"/>
      <c r="C571" s="3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>
      <c r="B572" s="32"/>
      <c r="C572" s="3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>
      <c r="B573" s="32"/>
      <c r="C573" s="3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>
      <c r="B574" s="32"/>
      <c r="C574" s="3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>
      <c r="B575" s="32"/>
      <c r="C575" s="3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>
      <c r="B576" s="32"/>
      <c r="C576" s="3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>
      <c r="B577" s="32"/>
      <c r="C577" s="3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>
      <c r="B578" s="32"/>
      <c r="C578" s="3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>
      <c r="B579" s="32"/>
      <c r="C579" s="3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>
      <c r="B580" s="32"/>
      <c r="C580" s="3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>
      <c r="B581" s="32"/>
      <c r="C581" s="3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>
      <c r="B582" s="32"/>
      <c r="C582" s="3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>
      <c r="B583" s="32"/>
      <c r="C583" s="3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>
      <c r="B584" s="32"/>
      <c r="C584" s="3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>
      <c r="B585" s="32"/>
      <c r="C585" s="3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>
      <c r="B586" s="32"/>
      <c r="C586" s="3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>
      <c r="B587" s="32"/>
      <c r="C587" s="3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>
      <c r="B588" s="32"/>
      <c r="C588" s="3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>
      <c r="B589" s="32"/>
      <c r="C589" s="3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>
      <c r="B590" s="32"/>
      <c r="C590" s="3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>
      <c r="B591" s="32"/>
      <c r="C591" s="3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>
      <c r="B592" s="32"/>
      <c r="C592" s="3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>
      <c r="B593" s="32"/>
      <c r="C593" s="3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>
      <c r="B594" s="32"/>
      <c r="C594" s="3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>
      <c r="B595" s="32"/>
      <c r="C595" s="3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>
      <c r="B596" s="32"/>
      <c r="C596" s="3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>
      <c r="B597" s="32"/>
      <c r="C597" s="3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>
      <c r="B598" s="32"/>
      <c r="C598" s="3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>
      <c r="B599" s="32"/>
      <c r="C599" s="3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>
      <c r="B600" s="32"/>
      <c r="C600" s="3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>
      <c r="B601" s="32"/>
      <c r="C601" s="3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>
      <c r="B602" s="32"/>
      <c r="C602" s="3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>
      <c r="B603" s="32"/>
      <c r="C603" s="3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>
      <c r="B604" s="32"/>
      <c r="C604" s="3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>
      <c r="B605" s="32"/>
      <c r="C605" s="3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>
      <c r="B606" s="32"/>
      <c r="C606" s="3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>
      <c r="B607" s="32"/>
      <c r="C607" s="3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>
      <c r="B608" s="32"/>
      <c r="C608" s="3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>
      <c r="B609" s="32"/>
      <c r="C609" s="3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>
      <c r="B610" s="32"/>
      <c r="C610" s="3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>
      <c r="B611" s="32"/>
      <c r="C611" s="3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>
      <c r="B612" s="32"/>
      <c r="C612" s="3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>
      <c r="B613" s="32"/>
      <c r="C613" s="3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>
      <c r="B614" s="32"/>
      <c r="C614" s="3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>
      <c r="B615" s="32"/>
      <c r="C615" s="3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>
      <c r="B616" s="32"/>
      <c r="C616" s="3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>
      <c r="B617" s="32"/>
      <c r="C617" s="3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>
      <c r="B618" s="32"/>
      <c r="C618" s="3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>
      <c r="B619" s="32"/>
      <c r="C619" s="3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>
      <c r="B620" s="32"/>
      <c r="C620" s="3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>
      <c r="B621" s="32"/>
      <c r="C621" s="3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>
      <c r="B622" s="32"/>
      <c r="C622" s="3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>
      <c r="B623" s="32"/>
      <c r="C623" s="3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>
      <c r="B624" s="32"/>
      <c r="C624" s="3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>
      <c r="B625" s="32"/>
      <c r="C625" s="3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>
      <c r="B626" s="32"/>
      <c r="C626" s="3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>
      <c r="B627" s="32"/>
      <c r="C627" s="3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>
      <c r="B628" s="32"/>
      <c r="C628" s="3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>
      <c r="B629" s="32"/>
      <c r="C629" s="3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>
      <c r="B630" s="32"/>
      <c r="C630" s="3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>
      <c r="B631" s="32"/>
      <c r="C631" s="3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>
      <c r="B632" s="32"/>
      <c r="C632" s="3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>
      <c r="B633" s="32"/>
      <c r="C633" s="3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>
      <c r="B634" s="32"/>
      <c r="C634" s="3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>
      <c r="B635" s="32"/>
      <c r="C635" s="3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>
      <c r="B636" s="32"/>
      <c r="C636" s="3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>
      <c r="B637" s="32"/>
      <c r="C637" s="3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>
      <c r="B638" s="32"/>
      <c r="C638" s="3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>
      <c r="B639" s="32"/>
      <c r="C639" s="3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>
      <c r="B640" s="32"/>
      <c r="C640" s="3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>
      <c r="B641" s="32"/>
      <c r="C641" s="3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>
      <c r="B642" s="32"/>
      <c r="C642" s="3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>
      <c r="B643" s="32"/>
      <c r="C643" s="3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>
      <c r="B644" s="32"/>
      <c r="C644" s="3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>
      <c r="B645" s="32"/>
      <c r="C645" s="3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>
      <c r="B646" s="32"/>
      <c r="C646" s="3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>
      <c r="B647" s="32"/>
      <c r="C647" s="3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>
      <c r="B648" s="32"/>
      <c r="C648" s="3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>
      <c r="B649" s="32"/>
      <c r="C649" s="3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>
      <c r="B650" s="32"/>
      <c r="C650" s="3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>
      <c r="B651" s="32"/>
      <c r="C651" s="3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>
      <c r="B652" s="32"/>
      <c r="C652" s="3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>
      <c r="B653" s="32"/>
      <c r="C653" s="3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>
      <c r="B654" s="32"/>
      <c r="C654" s="3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>
      <c r="B655" s="32"/>
      <c r="C655" s="3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>
      <c r="B656" s="32"/>
      <c r="C656" s="3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>
      <c r="B657" s="32"/>
      <c r="C657" s="3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>
      <c r="B658" s="32"/>
      <c r="C658" s="3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>
      <c r="B659" s="32"/>
      <c r="C659" s="3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>
      <c r="B660" s="32"/>
      <c r="C660" s="3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>
      <c r="B661" s="32"/>
      <c r="C661" s="3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>
      <c r="B662" s="32"/>
      <c r="C662" s="3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>
      <c r="B663" s="32"/>
      <c r="C663" s="3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>
      <c r="B664" s="32"/>
      <c r="C664" s="3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>
      <c r="B665" s="32"/>
      <c r="C665" s="3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>
      <c r="B666" s="32"/>
      <c r="C666" s="3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>
      <c r="B667" s="32"/>
      <c r="C667" s="3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>
      <c r="B668" s="32"/>
      <c r="C668" s="3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>
      <c r="B669" s="32"/>
      <c r="C669" s="3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>
      <c r="B670" s="32"/>
      <c r="C670" s="3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>
      <c r="B671" s="32"/>
      <c r="C671" s="3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>
      <c r="B672" s="32"/>
      <c r="C672" s="3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>
      <c r="B673" s="32"/>
      <c r="C673" s="3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>
      <c r="B674" s="32"/>
      <c r="C674" s="3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>
      <c r="B675" s="32"/>
      <c r="C675" s="3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>
      <c r="B676" s="32"/>
      <c r="C676" s="3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>
      <c r="B677" s="32"/>
      <c r="C677" s="3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>
      <c r="B678" s="32"/>
      <c r="C678" s="3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>
      <c r="B679" s="32"/>
      <c r="C679" s="3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>
      <c r="B680" s="32"/>
      <c r="C680" s="3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>
      <c r="B681" s="32"/>
      <c r="C681" s="3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>
      <c r="B682" s="32"/>
      <c r="C682" s="3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>
      <c r="B683" s="32"/>
      <c r="C683" s="3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>
      <c r="B684" s="32"/>
      <c r="C684" s="3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>
      <c r="B685" s="32"/>
      <c r="C685" s="3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>
      <c r="B686" s="32"/>
      <c r="C686" s="3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>
      <c r="B687" s="32"/>
      <c r="C687" s="3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>
      <c r="B688" s="32"/>
      <c r="C688" s="3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>
      <c r="B689" s="32"/>
      <c r="C689" s="3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>
      <c r="B690" s="32"/>
      <c r="C690" s="3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>
      <c r="B691" s="32"/>
      <c r="C691" s="3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>
      <c r="B692" s="32"/>
      <c r="C692" s="3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>
      <c r="B693" s="32"/>
      <c r="C693" s="3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>
      <c r="B694" s="32"/>
      <c r="C694" s="3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>
      <c r="B695" s="32"/>
      <c r="C695" s="3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>
      <c r="B696" s="32"/>
      <c r="C696" s="3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>
      <c r="B697" s="32"/>
      <c r="C697" s="3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>
      <c r="B698" s="32"/>
      <c r="C698" s="3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>
      <c r="B699" s="32"/>
      <c r="C699" s="3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>
      <c r="B700" s="32"/>
      <c r="C700" s="3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>
      <c r="B701" s="32"/>
      <c r="C701" s="3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>
      <c r="B702" s="32"/>
      <c r="C702" s="3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>
      <c r="B703" s="32"/>
      <c r="C703" s="3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>
      <c r="B704" s="32"/>
      <c r="C704" s="3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>
      <c r="B705" s="32"/>
      <c r="C705" s="3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>
      <c r="B706" s="32"/>
      <c r="C706" s="3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>
      <c r="B707" s="32"/>
      <c r="C707" s="3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>
      <c r="B708" s="32"/>
      <c r="C708" s="3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>
      <c r="B709" s="32"/>
      <c r="C709" s="3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>
      <c r="B710" s="32"/>
      <c r="C710" s="3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>
      <c r="B711" s="32"/>
      <c r="C711" s="3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>
      <c r="B712" s="32"/>
      <c r="C712" s="3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>
      <c r="B713" s="32"/>
      <c r="C713" s="3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>
      <c r="B714" s="32"/>
      <c r="C714" s="3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>
      <c r="B715" s="32"/>
      <c r="C715" s="3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>
      <c r="B716" s="32"/>
      <c r="C716" s="3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>
      <c r="B717" s="32"/>
      <c r="C717" s="3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>
      <c r="B718" s="32"/>
      <c r="C718" s="3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>
      <c r="B719" s="32"/>
      <c r="C719" s="3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>
      <c r="B720" s="32"/>
      <c r="C720" s="3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>
      <c r="B721" s="32"/>
      <c r="C721" s="3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>
      <c r="B722" s="32"/>
      <c r="C722" s="3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>
      <c r="B723" s="32"/>
      <c r="C723" s="3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>
      <c r="B724" s="32"/>
      <c r="C724" s="3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>
      <c r="B725" s="32"/>
      <c r="C725" s="3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>
      <c r="B726" s="32"/>
      <c r="C726" s="3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>
      <c r="B727" s="32"/>
      <c r="C727" s="3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>
      <c r="B728" s="32"/>
      <c r="C728" s="3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>
      <c r="B729" s="32"/>
      <c r="C729" s="3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>
      <c r="B730" s="32"/>
      <c r="C730" s="3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>
      <c r="B731" s="32"/>
      <c r="C731" s="3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>
      <c r="B732" s="32"/>
      <c r="C732" s="3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>
      <c r="B733" s="32"/>
      <c r="C733" s="3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>
      <c r="B734" s="32"/>
      <c r="C734" s="3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>
      <c r="B735" s="32"/>
      <c r="C735" s="3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>
      <c r="B736" s="32"/>
      <c r="C736" s="3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>
      <c r="B737" s="32"/>
      <c r="C737" s="3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>
      <c r="B738" s="32"/>
      <c r="C738" s="3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>
      <c r="B739" s="32"/>
      <c r="C739" s="3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>
      <c r="B740" s="32"/>
      <c r="C740" s="3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>
      <c r="B741" s="32"/>
      <c r="C741" s="3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>
      <c r="B742" s="32"/>
      <c r="C742" s="3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>
      <c r="B743" s="32"/>
      <c r="C743" s="3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>
      <c r="B744" s="32"/>
      <c r="C744" s="3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>
      <c r="B745" s="32"/>
      <c r="C745" s="3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>
      <c r="B746" s="32"/>
      <c r="C746" s="3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>
      <c r="B747" s="32"/>
      <c r="C747" s="3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>
      <c r="B748" s="32"/>
      <c r="C748" s="3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>
      <c r="B749" s="32"/>
      <c r="C749" s="3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>
      <c r="B750" s="32"/>
      <c r="C750" s="3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>
      <c r="B751" s="32"/>
      <c r="C751" s="3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>
      <c r="B752" s="32"/>
      <c r="C752" s="3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>
      <c r="B753" s="32"/>
      <c r="C753" s="3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>
      <c r="B754" s="32"/>
      <c r="C754" s="3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>
      <c r="B755" s="32"/>
      <c r="C755" s="3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>
      <c r="B756" s="32"/>
      <c r="C756" s="3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>
      <c r="B757" s="32"/>
      <c r="C757" s="3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>
      <c r="B758" s="32"/>
      <c r="C758" s="3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>
      <c r="B759" s="32"/>
      <c r="C759" s="3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>
      <c r="B760" s="32"/>
      <c r="C760" s="3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>
      <c r="B761" s="32"/>
      <c r="C761" s="3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>
      <c r="B762" s="32"/>
      <c r="C762" s="3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>
      <c r="B763" s="32"/>
      <c r="C763" s="3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>
      <c r="B764" s="32"/>
      <c r="C764" s="3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>
      <c r="B765" s="32"/>
      <c r="C765" s="3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>
      <c r="B766" s="32"/>
      <c r="C766" s="3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>
      <c r="B767" s="32"/>
      <c r="C767" s="3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>
      <c r="B768" s="32"/>
      <c r="C768" s="3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>
      <c r="B769" s="32"/>
      <c r="C769" s="3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>
      <c r="B770" s="32"/>
      <c r="C770" s="3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>
      <c r="B771" s="32"/>
      <c r="C771" s="3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>
      <c r="B772" s="32"/>
      <c r="C772" s="3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>
      <c r="B773" s="32"/>
      <c r="C773" s="3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>
      <c r="B774" s="32"/>
      <c r="C774" s="3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>
      <c r="B775" s="32"/>
      <c r="C775" s="3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>
      <c r="B776" s="32"/>
      <c r="C776" s="3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>
      <c r="B777" s="32"/>
      <c r="C777" s="3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>
      <c r="B778" s="32"/>
      <c r="C778" s="3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>
      <c r="B779" s="32"/>
      <c r="C779" s="3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>
      <c r="B780" s="32"/>
      <c r="C780" s="3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>
      <c r="B781" s="32"/>
      <c r="C781" s="3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>
      <c r="B782" s="32"/>
      <c r="C782" s="3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>
      <c r="B783" s="32"/>
      <c r="C783" s="3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>
      <c r="B784" s="32"/>
      <c r="C784" s="3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>
      <c r="B785" s="32"/>
      <c r="C785" s="3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>
      <c r="B786" s="32"/>
      <c r="C786" s="3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>
      <c r="B787" s="32"/>
      <c r="C787" s="3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>
      <c r="B788" s="32"/>
      <c r="C788" s="3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>
      <c r="B789" s="32"/>
      <c r="C789" s="3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>
      <c r="B790" s="32"/>
      <c r="C790" s="3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>
      <c r="B791" s="32"/>
      <c r="C791" s="3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>
      <c r="B792" s="32"/>
      <c r="C792" s="3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>
      <c r="B793" s="32"/>
      <c r="C793" s="3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>
      <c r="B794" s="32"/>
      <c r="C794" s="3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>
      <c r="B795" s="32"/>
      <c r="C795" s="3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>
      <c r="B796" s="32"/>
      <c r="C796" s="3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>
      <c r="B797" s="32"/>
      <c r="C797" s="3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>
      <c r="B798" s="32"/>
      <c r="C798" s="3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>
      <c r="B799" s="32"/>
      <c r="C799" s="3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>
      <c r="B800" s="32"/>
      <c r="C800" s="3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>
      <c r="B801" s="32"/>
      <c r="C801" s="3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>
      <c r="B802" s="32"/>
      <c r="C802" s="3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>
      <c r="B803" s="32"/>
      <c r="C803" s="3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>
      <c r="B804" s="32"/>
      <c r="C804" s="3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>
      <c r="B805" s="32"/>
      <c r="C805" s="3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>
      <c r="B806" s="32"/>
      <c r="C806" s="3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>
      <c r="B807" s="32"/>
      <c r="C807" s="3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>
      <c r="B808" s="32"/>
      <c r="C808" s="3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>
      <c r="B809" s="32"/>
      <c r="C809" s="3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>
      <c r="B810" s="32"/>
      <c r="C810" s="3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>
      <c r="B811" s="32"/>
      <c r="C811" s="3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>
      <c r="B812" s="32"/>
      <c r="C812" s="3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>
      <c r="B813" s="32"/>
      <c r="C813" s="3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>
      <c r="B814" s="32"/>
      <c r="C814" s="3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>
      <c r="B815" s="32"/>
      <c r="C815" s="3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>
      <c r="B816" s="32"/>
      <c r="C816" s="3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>
      <c r="B817" s="32"/>
      <c r="C817" s="3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>
      <c r="B818" s="32"/>
      <c r="C818" s="3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>
      <c r="B819" s="32"/>
      <c r="C819" s="3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>
      <c r="B820" s="32"/>
      <c r="C820" s="3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>
      <c r="B821" s="32"/>
      <c r="C821" s="3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>
      <c r="B822" s="32"/>
      <c r="C822" s="3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>
      <c r="B823" s="32"/>
      <c r="C823" s="3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>
      <c r="B824" s="32"/>
      <c r="C824" s="3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>
      <c r="B825" s="32"/>
      <c r="C825" s="3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>
      <c r="B826" s="32"/>
      <c r="C826" s="3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>
      <c r="B827" s="32"/>
      <c r="C827" s="3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>
      <c r="B828" s="32"/>
      <c r="C828" s="3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>
      <c r="B829" s="32"/>
      <c r="C829" s="3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>
      <c r="B830" s="32"/>
      <c r="C830" s="3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>
      <c r="B831" s="32"/>
      <c r="C831" s="3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>
      <c r="B832" s="32"/>
      <c r="C832" s="3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>
      <c r="B833" s="32"/>
      <c r="C833" s="3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>
      <c r="B834" s="32"/>
      <c r="C834" s="3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>
      <c r="B835" s="32"/>
      <c r="C835" s="3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>
      <c r="B836" s="32"/>
      <c r="C836" s="3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>
      <c r="B837" s="32"/>
      <c r="C837" s="3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>
      <c r="B838" s="32"/>
      <c r="C838" s="3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>
      <c r="B839" s="32"/>
      <c r="C839" s="3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>
      <c r="B840" s="32"/>
      <c r="C840" s="3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>
      <c r="B841" s="32"/>
      <c r="C841" s="3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>
      <c r="B842" s="32"/>
      <c r="C842" s="3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>
      <c r="B843" s="32"/>
      <c r="C843" s="3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>
      <c r="B844" s="32"/>
      <c r="C844" s="3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>
      <c r="B845" s="32"/>
      <c r="C845" s="3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>
      <c r="B846" s="32"/>
      <c r="C846" s="3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>
      <c r="B847" s="32"/>
      <c r="C847" s="3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>
      <c r="B848" s="32"/>
      <c r="C848" s="3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>
      <c r="B849" s="32"/>
      <c r="C849" s="3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>
      <c r="B850" s="32"/>
      <c r="C850" s="3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>
      <c r="B851" s="32"/>
      <c r="C851" s="3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>
      <c r="B852" s="32"/>
      <c r="C852" s="3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>
      <c r="B853" s="32"/>
      <c r="C853" s="3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>
      <c r="B854" s="32"/>
      <c r="C854" s="3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>
      <c r="B855" s="32"/>
      <c r="C855" s="3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>
      <c r="B856" s="32"/>
      <c r="C856" s="3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>
      <c r="B857" s="32"/>
      <c r="C857" s="3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>
      <c r="B858" s="32"/>
      <c r="C858" s="3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>
      <c r="B859" s="32"/>
      <c r="C859" s="3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>
      <c r="B860" s="32"/>
      <c r="C860" s="3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>
      <c r="B861" s="32"/>
      <c r="C861" s="3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>
      <c r="B862" s="32"/>
      <c r="C862" s="3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>
      <c r="B863" s="32"/>
      <c r="C863" s="3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>
      <c r="B864" s="32"/>
      <c r="C864" s="3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>
      <c r="B865" s="32"/>
      <c r="C865" s="3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>
      <c r="B866" s="32"/>
      <c r="C866" s="3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>
      <c r="B867" s="32"/>
      <c r="C867" s="3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>
      <c r="B868" s="32"/>
      <c r="C868" s="3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>
      <c r="B869" s="32"/>
      <c r="C869" s="3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>
      <c r="B870" s="32"/>
      <c r="C870" s="3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>
      <c r="B871" s="32"/>
      <c r="C871" s="3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>
      <c r="B872" s="32"/>
      <c r="C872" s="3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>
      <c r="B873" s="32"/>
      <c r="C873" s="3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>
      <c r="B874" s="32"/>
      <c r="C874" s="3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>
      <c r="B875" s="32"/>
      <c r="C875" s="3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>
      <c r="B876" s="32"/>
      <c r="C876" s="3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>
      <c r="B877" s="32"/>
      <c r="C877" s="3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>
      <c r="B878" s="32"/>
      <c r="C878" s="3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>
      <c r="B879" s="32"/>
      <c r="C879" s="3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>
      <c r="B880" s="32"/>
      <c r="C880" s="3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>
      <c r="B881" s="32"/>
      <c r="C881" s="3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>
      <c r="B882" s="32"/>
      <c r="C882" s="3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>
      <c r="B883" s="32"/>
      <c r="C883" s="3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>
      <c r="B884" s="32"/>
      <c r="C884" s="3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>
      <c r="B885" s="32"/>
      <c r="C885" s="3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>
      <c r="B886" s="32"/>
      <c r="C886" s="3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>
      <c r="B887" s="32"/>
      <c r="C887" s="3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>
      <c r="B888" s="32"/>
      <c r="C888" s="3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>
      <c r="B889" s="32"/>
      <c r="C889" s="3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>
      <c r="B890" s="32"/>
      <c r="C890" s="3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>
      <c r="B891" s="32"/>
      <c r="C891" s="3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>
      <c r="B892" s="32"/>
      <c r="C892" s="3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>
      <c r="B893" s="32"/>
      <c r="C893" s="3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>
      <c r="B894" s="32"/>
      <c r="C894" s="3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>
      <c r="B895" s="32"/>
      <c r="C895" s="3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>
      <c r="B896" s="32"/>
      <c r="C896" s="3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>
      <c r="B897" s="32"/>
      <c r="C897" s="3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>
      <c r="B898" s="32"/>
      <c r="C898" s="3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>
      <c r="B899" s="32"/>
      <c r="C899" s="3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>
      <c r="B900" s="32"/>
      <c r="C900" s="3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>
      <c r="B901" s="32"/>
      <c r="C901" s="3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>
      <c r="B902" s="32"/>
      <c r="C902" s="3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>
      <c r="B903" s="32"/>
      <c r="C903" s="3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>
      <c r="B904" s="32"/>
      <c r="C904" s="3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>
      <c r="B905" s="32"/>
      <c r="C905" s="3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>
      <c r="B906" s="32"/>
      <c r="C906" s="3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>
      <c r="B907" s="32"/>
      <c r="C907" s="3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>
      <c r="B908" s="32"/>
      <c r="C908" s="3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>
      <c r="B909" s="32"/>
      <c r="C909" s="3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>
      <c r="B910" s="32"/>
      <c r="C910" s="3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>
      <c r="B911" s="32"/>
      <c r="C911" s="3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>
      <c r="B912" s="32"/>
      <c r="C912" s="3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>
      <c r="B913" s="32"/>
      <c r="C913" s="3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>
      <c r="B914" s="32"/>
      <c r="C914" s="3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>
      <c r="B915" s="32"/>
      <c r="C915" s="3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>
      <c r="B916" s="32"/>
      <c r="C916" s="3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>
      <c r="B917" s="32"/>
      <c r="C917" s="3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>
      <c r="B918" s="32"/>
      <c r="C918" s="3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>
      <c r="B919" s="32"/>
      <c r="C919" s="3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>
      <c r="B920" s="32"/>
      <c r="C920" s="3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>
      <c r="B921" s="32"/>
      <c r="C921" s="3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>
      <c r="B922" s="32"/>
      <c r="C922" s="3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>
      <c r="B923" s="32"/>
      <c r="C923" s="3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>
      <c r="B924" s="32"/>
      <c r="C924" s="3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>
      <c r="B925" s="32"/>
      <c r="C925" s="3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>
      <c r="B926" s="32"/>
      <c r="C926" s="3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>
      <c r="B927" s="32"/>
      <c r="C927" s="3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>
      <c r="B928" s="32"/>
      <c r="C928" s="3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>
      <c r="B929" s="32"/>
      <c r="C929" s="3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>
      <c r="B930" s="32"/>
      <c r="C930" s="3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>
      <c r="B931" s="32"/>
      <c r="C931" s="3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>
      <c r="B932" s="32"/>
      <c r="C932" s="3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>
      <c r="B933" s="32"/>
      <c r="C933" s="3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>
      <c r="B934" s="32"/>
      <c r="C934" s="3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>
      <c r="B935" s="32"/>
      <c r="C935" s="3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>
      <c r="B936" s="32"/>
      <c r="C936" s="3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>
      <c r="B937" s="32"/>
      <c r="C937" s="3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>
      <c r="B938" s="32"/>
      <c r="C938" s="3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>
      <c r="B939" s="32"/>
      <c r="C939" s="3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>
      <c r="B940" s="32"/>
      <c r="C940" s="3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>
      <c r="B941" s="32"/>
      <c r="C941" s="3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>
      <c r="B942" s="32"/>
      <c r="C942" s="3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>
      <c r="B943" s="32"/>
      <c r="C943" s="3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>
      <c r="B944" s="32"/>
      <c r="C944" s="3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>
      <c r="B945" s="32"/>
      <c r="C945" s="3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>
      <c r="B946" s="32"/>
      <c r="C946" s="3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>
      <c r="B947" s="32"/>
      <c r="C947" s="3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>
      <c r="B948" s="32"/>
      <c r="C948" s="3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>
      <c r="B949" s="32"/>
      <c r="C949" s="3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>
      <c r="B950" s="32"/>
      <c r="C950" s="3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>
      <c r="B951" s="32"/>
      <c r="C951" s="3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>
      <c r="B952" s="32"/>
      <c r="C952" s="3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>
      <c r="B953" s="32"/>
      <c r="C953" s="3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>
      <c r="B954" s="32"/>
      <c r="C954" s="3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>
      <c r="B955" s="32"/>
      <c r="C955" s="3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>
      <c r="B956" s="32"/>
      <c r="C956" s="3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>
      <c r="B957" s="32"/>
      <c r="C957" s="3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>
      <c r="B958" s="32"/>
      <c r="C958" s="3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>
      <c r="B959" s="32"/>
      <c r="C959" s="3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>
      <c r="B960" s="32"/>
      <c r="C960" s="3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>
      <c r="B961" s="32"/>
      <c r="C961" s="3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>
      <c r="B962" s="32"/>
      <c r="C962" s="3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>
      <c r="B963" s="32"/>
      <c r="C963" s="3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>
      <c r="B964" s="32"/>
      <c r="C964" s="3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>
      <c r="B965" s="32"/>
      <c r="C965" s="3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>
      <c r="B966" s="32"/>
      <c r="C966" s="3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>
      <c r="B967" s="32"/>
      <c r="C967" s="3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>
      <c r="B968" s="32"/>
      <c r="C968" s="3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>
      <c r="B969" s="32"/>
      <c r="C969" s="3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>
      <c r="B970" s="32"/>
      <c r="C970" s="3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>
      <c r="B971" s="32"/>
      <c r="C971" s="3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>
      <c r="B972" s="32"/>
      <c r="C972" s="3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>
      <c r="B973" s="32"/>
      <c r="C973" s="3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>
      <c r="B974" s="32"/>
      <c r="C974" s="3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>
      <c r="B975" s="32"/>
      <c r="C975" s="3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>
      <c r="B976" s="32"/>
      <c r="C976" s="3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>
      <c r="B977" s="32"/>
      <c r="C977" s="3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>
      <c r="B978" s="32"/>
      <c r="C978" s="3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>
      <c r="B979" s="32"/>
      <c r="C979" s="3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>
      <c r="B980" s="32"/>
      <c r="C980" s="3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>
      <c r="B981" s="32"/>
      <c r="C981" s="3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>
      <c r="B982" s="32"/>
      <c r="C982" s="3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>
      <c r="B983" s="32"/>
      <c r="C983" s="3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>
      <c r="B984" s="32"/>
      <c r="C984" s="3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>
      <c r="B985" s="32"/>
      <c r="C985" s="3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>
      <c r="B986" s="32"/>
      <c r="C986" s="3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>
      <c r="B987" s="32"/>
      <c r="C987" s="3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>
      <c r="B988" s="32"/>
      <c r="C988" s="3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>
      <c r="B989" s="32"/>
      <c r="C989" s="3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>
      <c r="B990" s="32"/>
      <c r="C990" s="3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>
      <c r="B991" s="32"/>
      <c r="C991" s="3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>
      <c r="B992" s="32"/>
      <c r="C992" s="3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>
      <c r="B993" s="32"/>
      <c r="C993" s="3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>
      <c r="B994" s="32"/>
      <c r="C994" s="3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>
      <c r="B995" s="32"/>
      <c r="C995" s="3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>
      <c r="B996" s="32"/>
      <c r="C996" s="3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>
      <c r="B997" s="32"/>
      <c r="C997" s="3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>
      <c r="B998" s="32"/>
      <c r="C998" s="3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>
      <c r="B999" s="32"/>
      <c r="C999" s="3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>
      <c r="B1000" s="32"/>
      <c r="C1000" s="3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71"/>
    <col customWidth="1" min="4" max="4" width="13.86"/>
    <col customWidth="1" min="6" max="22" width="8.57"/>
  </cols>
  <sheetData>
    <row r="1">
      <c r="A1" s="57" t="s">
        <v>8</v>
      </c>
      <c r="B1" s="58" t="s">
        <v>9</v>
      </c>
      <c r="C1" s="65" t="s">
        <v>133</v>
      </c>
      <c r="D1" s="67" t="s">
        <v>134</v>
      </c>
      <c r="E1" s="70" t="s">
        <v>135</v>
      </c>
      <c r="F1" s="71">
        <v>2010.0</v>
      </c>
      <c r="G1" s="71">
        <v>2011.0</v>
      </c>
      <c r="H1" s="71">
        <v>2012.0</v>
      </c>
      <c r="I1" s="71">
        <v>2013.0</v>
      </c>
      <c r="J1" s="71">
        <v>2014.0</v>
      </c>
      <c r="K1" s="71">
        <v>2015.0</v>
      </c>
      <c r="L1" s="71">
        <v>2016.0</v>
      </c>
      <c r="M1" s="71">
        <v>2017.0</v>
      </c>
      <c r="N1" s="71">
        <v>2018.0</v>
      </c>
      <c r="O1" s="71">
        <v>2019.0</v>
      </c>
      <c r="P1" s="71">
        <v>2020.0</v>
      </c>
      <c r="Q1" s="71">
        <v>2021.0</v>
      </c>
      <c r="R1" s="71">
        <v>2022.0</v>
      </c>
      <c r="S1" s="71">
        <v>2023.0</v>
      </c>
      <c r="T1" s="71">
        <v>2024.0</v>
      </c>
      <c r="U1" s="71">
        <v>2025.0</v>
      </c>
      <c r="V1" s="71">
        <v>2026.0</v>
      </c>
      <c r="W1" s="6"/>
      <c r="X1" s="6"/>
      <c r="Y1" s="6"/>
      <c r="Z1" s="6"/>
      <c r="AA1" s="6"/>
    </row>
    <row r="2">
      <c r="A2" s="24">
        <v>2.611606019E9</v>
      </c>
      <c r="B2" s="24" t="s">
        <v>39</v>
      </c>
      <c r="C2" s="24">
        <v>4996.0</v>
      </c>
      <c r="D2" s="24">
        <v>2915.0</v>
      </c>
      <c r="E2" s="72">
        <f t="shared" ref="E2:E94" si="1">(D2/C2)^(1/12)</f>
        <v>0.9560956541</v>
      </c>
      <c r="F2" s="69">
        <f t="shared" ref="F2:F96" si="2">C2</f>
        <v>4996</v>
      </c>
      <c r="G2" s="69">
        <f t="shared" ref="G2:G95" si="3">C2*E2^($G$1-2010)</f>
        <v>4776.653888</v>
      </c>
      <c r="H2" s="69">
        <f t="shared" ref="H2:H95" si="4">C2*E2^($H$1-2010)</f>
        <v>4566.938023</v>
      </c>
      <c r="I2" s="69">
        <f t="shared" ref="I2:I95" si="5">C2*E2^($I$1-2010)</f>
        <v>4366.429596</v>
      </c>
      <c r="J2" s="69">
        <f t="shared" ref="J2:J95" si="6">C2*E2^($J$1-2010)</f>
        <v>4174.724361</v>
      </c>
      <c r="K2" s="69">
        <f t="shared" ref="K2:K95" si="7">C2*E2^($K$1-2010)</f>
        <v>3991.435818</v>
      </c>
      <c r="L2" s="69">
        <f t="shared" ref="L2:L95" si="8">C2*E2^($L$1-2010)</f>
        <v>3816.194439</v>
      </c>
      <c r="M2" s="69">
        <f t="shared" ref="M2:M95" si="9">C2*E2^($M$1-2010)</f>
        <v>3648.646919</v>
      </c>
      <c r="N2" s="69">
        <f t="shared" ref="N2:N95" si="10">C2*E2^($N$1-2010)</f>
        <v>3488.455462</v>
      </c>
      <c r="O2" s="69">
        <f t="shared" ref="O2:O95" si="11">C2*E2^($O$1-2010)</f>
        <v>3335.297107</v>
      </c>
      <c r="P2" s="69">
        <f t="shared" ref="P2:P95" si="12">C2*E2^($P$1-2010)</f>
        <v>3188.863069</v>
      </c>
      <c r="Q2" s="69">
        <f t="shared" ref="Q2:Q95" si="13">C2*E2^($Q$1-2010)</f>
        <v>3048.858122</v>
      </c>
      <c r="R2" s="69">
        <f t="shared" ref="R2:R94" si="14">C2*E2^($R$1-2010)</f>
        <v>2915</v>
      </c>
      <c r="S2" s="69">
        <f t="shared" ref="S2:S94" si="15">C2*E2^($S$1-2010)</f>
        <v>2787.018832</v>
      </c>
      <c r="T2" s="69">
        <f t="shared" ref="T2:T94" si="16">C2*E2^($T$1-2010)</f>
        <v>2664.656593</v>
      </c>
      <c r="U2" s="69">
        <f t="shared" ref="U2:U94" si="17">C2*E2^($U$1-2010)</f>
        <v>2547.666588</v>
      </c>
      <c r="V2" s="69">
        <f t="shared" ref="V2:V94" si="18">C2*E2^($V$1-2010)</f>
        <v>2435.812953</v>
      </c>
    </row>
    <row r="3">
      <c r="A3" s="24">
        <v>2.611606043E9</v>
      </c>
      <c r="B3" s="24" t="s">
        <v>40</v>
      </c>
      <c r="C3" s="24">
        <v>3332.0</v>
      </c>
      <c r="D3" s="24">
        <v>2523.0</v>
      </c>
      <c r="E3" s="72">
        <f t="shared" si="1"/>
        <v>0.9770895192</v>
      </c>
      <c r="F3" s="69">
        <f t="shared" si="2"/>
        <v>3332</v>
      </c>
      <c r="G3" s="69">
        <f t="shared" si="3"/>
        <v>3255.662278</v>
      </c>
      <c r="H3" s="69">
        <f t="shared" si="4"/>
        <v>3181.07349</v>
      </c>
      <c r="I3" s="69">
        <f t="shared" si="5"/>
        <v>3108.193566</v>
      </c>
      <c r="J3" s="69">
        <f t="shared" si="6"/>
        <v>3036.983357</v>
      </c>
      <c r="K3" s="69">
        <f t="shared" si="7"/>
        <v>2967.404608</v>
      </c>
      <c r="L3" s="69">
        <f t="shared" si="8"/>
        <v>2899.419942</v>
      </c>
      <c r="M3" s="69">
        <f t="shared" si="9"/>
        <v>2832.992837</v>
      </c>
      <c r="N3" s="69">
        <f t="shared" si="10"/>
        <v>2768.087609</v>
      </c>
      <c r="O3" s="69">
        <f t="shared" si="11"/>
        <v>2704.669391</v>
      </c>
      <c r="P3" s="69">
        <f t="shared" si="12"/>
        <v>2642.704115</v>
      </c>
      <c r="Q3" s="69">
        <f t="shared" si="13"/>
        <v>2582.158493</v>
      </c>
      <c r="R3" s="69">
        <f t="shared" si="14"/>
        <v>2523</v>
      </c>
      <c r="S3" s="69">
        <f t="shared" si="15"/>
        <v>2465.196857</v>
      </c>
      <c r="T3" s="69">
        <f t="shared" si="16"/>
        <v>2408.718012</v>
      </c>
      <c r="U3" s="69">
        <f t="shared" si="17"/>
        <v>2353.533124</v>
      </c>
      <c r="V3" s="69">
        <f t="shared" si="18"/>
        <v>2299.612548</v>
      </c>
    </row>
    <row r="4">
      <c r="A4" s="24">
        <v>2.611606033E9</v>
      </c>
      <c r="B4" s="24" t="s">
        <v>41</v>
      </c>
      <c r="C4" s="24">
        <v>6584.0</v>
      </c>
      <c r="D4" s="24">
        <v>5062.0</v>
      </c>
      <c r="E4" s="72">
        <f t="shared" si="1"/>
        <v>0.9783314764</v>
      </c>
      <c r="F4" s="69">
        <f t="shared" si="2"/>
        <v>6584</v>
      </c>
      <c r="G4" s="69">
        <f t="shared" si="3"/>
        <v>6441.334441</v>
      </c>
      <c r="H4" s="69">
        <f t="shared" si="4"/>
        <v>6301.760233</v>
      </c>
      <c r="I4" s="69">
        <f t="shared" si="5"/>
        <v>6165.210393</v>
      </c>
      <c r="J4" s="69">
        <f t="shared" si="6"/>
        <v>6031.619386</v>
      </c>
      <c r="K4" s="69">
        <f t="shared" si="7"/>
        <v>5900.923099</v>
      </c>
      <c r="L4" s="69">
        <f t="shared" si="8"/>
        <v>5773.058808</v>
      </c>
      <c r="M4" s="69">
        <f t="shared" si="9"/>
        <v>5647.965147</v>
      </c>
      <c r="N4" s="69">
        <f t="shared" si="10"/>
        <v>5525.582081</v>
      </c>
      <c r="O4" s="69">
        <f t="shared" si="11"/>
        <v>5405.850875</v>
      </c>
      <c r="P4" s="69">
        <f t="shared" si="12"/>
        <v>5288.714068</v>
      </c>
      <c r="Q4" s="69">
        <f t="shared" si="13"/>
        <v>5174.115443</v>
      </c>
      <c r="R4" s="69">
        <f t="shared" si="14"/>
        <v>5062</v>
      </c>
      <c r="S4" s="69">
        <f t="shared" si="15"/>
        <v>4952.313934</v>
      </c>
      <c r="T4" s="69">
        <f t="shared" si="16"/>
        <v>4845.004602</v>
      </c>
      <c r="U4" s="69">
        <f t="shared" si="17"/>
        <v>4740.020506</v>
      </c>
      <c r="V4" s="69">
        <f t="shared" si="18"/>
        <v>4637.31126</v>
      </c>
    </row>
    <row r="5">
      <c r="A5" s="24">
        <v>2.611606008E9</v>
      </c>
      <c r="B5" s="24" t="s">
        <v>42</v>
      </c>
      <c r="C5" s="24">
        <v>7625.0</v>
      </c>
      <c r="D5" s="24">
        <v>5923.0</v>
      </c>
      <c r="E5" s="72">
        <f t="shared" si="1"/>
        <v>0.9791708824</v>
      </c>
      <c r="F5" s="69">
        <f t="shared" si="2"/>
        <v>7625</v>
      </c>
      <c r="G5" s="69">
        <f t="shared" si="3"/>
        <v>7466.177978</v>
      </c>
      <c r="H5" s="69">
        <f t="shared" si="4"/>
        <v>7310.664079</v>
      </c>
      <c r="I5" s="69">
        <f t="shared" si="5"/>
        <v>7158.389398</v>
      </c>
      <c r="J5" s="69">
        <f t="shared" si="6"/>
        <v>7009.286463</v>
      </c>
      <c r="K5" s="69">
        <f t="shared" si="7"/>
        <v>6863.289211</v>
      </c>
      <c r="L5" s="69">
        <f t="shared" si="8"/>
        <v>6720.332953</v>
      </c>
      <c r="M5" s="69">
        <f t="shared" si="9"/>
        <v>6580.354348</v>
      </c>
      <c r="N5" s="69">
        <f t="shared" si="10"/>
        <v>6443.291373</v>
      </c>
      <c r="O5" s="69">
        <f t="shared" si="11"/>
        <v>6309.0833</v>
      </c>
      <c r="P5" s="69">
        <f t="shared" si="12"/>
        <v>6177.670662</v>
      </c>
      <c r="Q5" s="69">
        <f t="shared" si="13"/>
        <v>6048.995233</v>
      </c>
      <c r="R5" s="69">
        <f t="shared" si="14"/>
        <v>5923</v>
      </c>
      <c r="S5" s="69">
        <f t="shared" si="15"/>
        <v>5799.629137</v>
      </c>
      <c r="T5" s="69">
        <f t="shared" si="16"/>
        <v>5678.827979</v>
      </c>
      <c r="U5" s="69">
        <f t="shared" si="17"/>
        <v>5560.543004</v>
      </c>
      <c r="V5" s="69">
        <f t="shared" si="18"/>
        <v>5444.721799</v>
      </c>
    </row>
    <row r="6">
      <c r="A6" s="24">
        <v>2.611606061E9</v>
      </c>
      <c r="B6" s="24" t="s">
        <v>43</v>
      </c>
      <c r="C6" s="24">
        <v>6032.0</v>
      </c>
      <c r="D6" s="24">
        <v>4763.0</v>
      </c>
      <c r="E6" s="72">
        <f t="shared" si="1"/>
        <v>0.9805090444</v>
      </c>
      <c r="F6" s="69">
        <f t="shared" si="2"/>
        <v>6032</v>
      </c>
      <c r="G6" s="69">
        <f t="shared" si="3"/>
        <v>5914.430556</v>
      </c>
      <c r="H6" s="69">
        <f t="shared" si="4"/>
        <v>5799.152653</v>
      </c>
      <c r="I6" s="69">
        <f t="shared" si="5"/>
        <v>5686.121626</v>
      </c>
      <c r="J6" s="69">
        <f t="shared" si="6"/>
        <v>5575.293682</v>
      </c>
      <c r="K6" s="69">
        <f t="shared" si="7"/>
        <v>5466.625881</v>
      </c>
      <c r="L6" s="69">
        <f t="shared" si="8"/>
        <v>5360.076119</v>
      </c>
      <c r="M6" s="69">
        <f t="shared" si="9"/>
        <v>5255.603113</v>
      </c>
      <c r="N6" s="69">
        <f t="shared" si="10"/>
        <v>5153.166387</v>
      </c>
      <c r="O6" s="69">
        <f t="shared" si="11"/>
        <v>5052.72625</v>
      </c>
      <c r="P6" s="69">
        <f t="shared" si="12"/>
        <v>4954.243787</v>
      </c>
      <c r="Q6" s="69">
        <f t="shared" si="13"/>
        <v>4857.680841</v>
      </c>
      <c r="R6" s="69">
        <f t="shared" si="14"/>
        <v>4763</v>
      </c>
      <c r="S6" s="69">
        <f t="shared" si="15"/>
        <v>4670.164579</v>
      </c>
      <c r="T6" s="69">
        <f t="shared" si="16"/>
        <v>4579.138608</v>
      </c>
      <c r="U6" s="69">
        <f t="shared" si="17"/>
        <v>4489.886821</v>
      </c>
      <c r="V6" s="69">
        <f t="shared" si="18"/>
        <v>4402.374637</v>
      </c>
    </row>
    <row r="7">
      <c r="A7" s="24">
        <v>2.611606023E9</v>
      </c>
      <c r="B7" s="24" t="s">
        <v>44</v>
      </c>
      <c r="C7" s="24">
        <v>2626.0</v>
      </c>
      <c r="D7" s="24">
        <v>2091.0</v>
      </c>
      <c r="E7" s="72">
        <f t="shared" si="1"/>
        <v>0.9811941327</v>
      </c>
      <c r="F7" s="69">
        <f t="shared" si="2"/>
        <v>2626</v>
      </c>
      <c r="G7" s="69">
        <f t="shared" si="3"/>
        <v>2576.615793</v>
      </c>
      <c r="H7" s="69">
        <f t="shared" si="4"/>
        <v>2528.160298</v>
      </c>
      <c r="I7" s="69">
        <f t="shared" si="5"/>
        <v>2480.616051</v>
      </c>
      <c r="J7" s="69">
        <f t="shared" si="6"/>
        <v>2433.965915</v>
      </c>
      <c r="K7" s="69">
        <f t="shared" si="7"/>
        <v>2388.193075</v>
      </c>
      <c r="L7" s="69">
        <f t="shared" si="8"/>
        <v>2343.281033</v>
      </c>
      <c r="M7" s="69">
        <f t="shared" si="9"/>
        <v>2299.213601</v>
      </c>
      <c r="N7" s="69">
        <f t="shared" si="10"/>
        <v>2255.974895</v>
      </c>
      <c r="O7" s="69">
        <f t="shared" si="11"/>
        <v>2213.549331</v>
      </c>
      <c r="P7" s="69">
        <f t="shared" si="12"/>
        <v>2171.921616</v>
      </c>
      <c r="Q7" s="69">
        <f t="shared" si="13"/>
        <v>2131.076746</v>
      </c>
      <c r="R7" s="69">
        <f t="shared" si="14"/>
        <v>2091</v>
      </c>
      <c r="S7" s="69">
        <f t="shared" si="15"/>
        <v>2051.676932</v>
      </c>
      <c r="T7" s="69">
        <f t="shared" si="16"/>
        <v>2013.093368</v>
      </c>
      <c r="U7" s="69">
        <f t="shared" si="17"/>
        <v>1975.235401</v>
      </c>
      <c r="V7" s="69">
        <f t="shared" si="18"/>
        <v>1938.089386</v>
      </c>
    </row>
    <row r="8">
      <c r="A8" s="24">
        <v>2.61160603E9</v>
      </c>
      <c r="B8" s="24" t="s">
        <v>45</v>
      </c>
      <c r="C8" s="24">
        <v>8854.0</v>
      </c>
      <c r="D8" s="24">
        <v>7089.0</v>
      </c>
      <c r="E8" s="72">
        <f t="shared" si="1"/>
        <v>0.9816434842</v>
      </c>
      <c r="F8" s="69">
        <f t="shared" si="2"/>
        <v>8854</v>
      </c>
      <c r="G8" s="69">
        <f t="shared" si="3"/>
        <v>8691.471409</v>
      </c>
      <c r="H8" s="69">
        <f t="shared" si="4"/>
        <v>8531.926276</v>
      </c>
      <c r="I8" s="69">
        <f t="shared" si="5"/>
        <v>8375.309837</v>
      </c>
      <c r="J8" s="69">
        <f t="shared" si="6"/>
        <v>8221.568329</v>
      </c>
      <c r="K8" s="69">
        <f t="shared" si="7"/>
        <v>8070.64898</v>
      </c>
      <c r="L8" s="69">
        <f t="shared" si="8"/>
        <v>7922.499984</v>
      </c>
      <c r="M8" s="69">
        <f t="shared" si="9"/>
        <v>7777.070488</v>
      </c>
      <c r="N8" s="69">
        <f t="shared" si="10"/>
        <v>7634.31057</v>
      </c>
      <c r="O8" s="69">
        <f t="shared" si="11"/>
        <v>7494.171228</v>
      </c>
      <c r="P8" s="69">
        <f t="shared" si="12"/>
        <v>7356.604355</v>
      </c>
      <c r="Q8" s="69">
        <f t="shared" si="13"/>
        <v>7221.562731</v>
      </c>
      <c r="R8" s="69">
        <f t="shared" si="14"/>
        <v>7089</v>
      </c>
      <c r="S8" s="69">
        <f t="shared" si="15"/>
        <v>6958.870659</v>
      </c>
      <c r="T8" s="69">
        <f t="shared" si="16"/>
        <v>6831.13004</v>
      </c>
      <c r="U8" s="69">
        <f t="shared" si="17"/>
        <v>6705.734293</v>
      </c>
      <c r="V8" s="69">
        <f t="shared" si="18"/>
        <v>6582.640376</v>
      </c>
    </row>
    <row r="9">
      <c r="A9" s="24">
        <v>2.611606077E9</v>
      </c>
      <c r="B9" s="24" t="s">
        <v>46</v>
      </c>
      <c r="C9" s="24">
        <v>9237.0</v>
      </c>
      <c r="D9" s="24">
        <v>7408.0</v>
      </c>
      <c r="E9" s="72">
        <f t="shared" si="1"/>
        <v>0.9817799738</v>
      </c>
      <c r="F9" s="69">
        <f t="shared" si="2"/>
        <v>9237</v>
      </c>
      <c r="G9" s="69">
        <f t="shared" si="3"/>
        <v>9068.701618</v>
      </c>
      <c r="H9" s="69">
        <f t="shared" si="4"/>
        <v>8903.469637</v>
      </c>
      <c r="I9" s="69">
        <f t="shared" si="5"/>
        <v>8741.248186</v>
      </c>
      <c r="J9" s="69">
        <f t="shared" si="6"/>
        <v>8581.982415</v>
      </c>
      <c r="K9" s="69">
        <f t="shared" si="7"/>
        <v>8425.61847</v>
      </c>
      <c r="L9" s="69">
        <f t="shared" si="8"/>
        <v>8272.103481</v>
      </c>
      <c r="M9" s="69">
        <f t="shared" si="9"/>
        <v>8121.385539</v>
      </c>
      <c r="N9" s="69">
        <f t="shared" si="10"/>
        <v>7973.413681</v>
      </c>
      <c r="O9" s="69">
        <f t="shared" si="11"/>
        <v>7828.137875</v>
      </c>
      <c r="P9" s="69">
        <f t="shared" si="12"/>
        <v>7685.508997</v>
      </c>
      <c r="Q9" s="69">
        <f t="shared" si="13"/>
        <v>7545.478822</v>
      </c>
      <c r="R9" s="69">
        <f t="shared" si="14"/>
        <v>7408</v>
      </c>
      <c r="S9" s="69">
        <f t="shared" si="15"/>
        <v>7273.026046</v>
      </c>
      <c r="T9" s="69">
        <f t="shared" si="16"/>
        <v>7140.51132</v>
      </c>
      <c r="U9" s="69">
        <f t="shared" si="17"/>
        <v>7010.411017</v>
      </c>
      <c r="V9" s="69">
        <f t="shared" si="18"/>
        <v>6882.681144</v>
      </c>
    </row>
    <row r="10">
      <c r="A10" s="24">
        <v>2.611606051E9</v>
      </c>
      <c r="B10" s="24" t="s">
        <v>47</v>
      </c>
      <c r="C10" s="24">
        <v>10169.0</v>
      </c>
      <c r="D10" s="24">
        <v>8217.0</v>
      </c>
      <c r="E10" s="72">
        <f t="shared" si="1"/>
        <v>0.9823952486</v>
      </c>
      <c r="F10" s="69">
        <f t="shared" si="2"/>
        <v>10169</v>
      </c>
      <c r="G10" s="69">
        <f t="shared" si="3"/>
        <v>9989.977283</v>
      </c>
      <c r="H10" s="69">
        <f t="shared" si="4"/>
        <v>9814.106216</v>
      </c>
      <c r="I10" s="69">
        <f t="shared" si="5"/>
        <v>9641.331315</v>
      </c>
      <c r="J10" s="69">
        <f t="shared" si="6"/>
        <v>9471.598074</v>
      </c>
      <c r="K10" s="69">
        <f t="shared" si="7"/>
        <v>9304.852944</v>
      </c>
      <c r="L10" s="69">
        <f t="shared" si="8"/>
        <v>9141.043321</v>
      </c>
      <c r="M10" s="69">
        <f t="shared" si="9"/>
        <v>8980.117526</v>
      </c>
      <c r="N10" s="69">
        <f t="shared" si="10"/>
        <v>8822.024789</v>
      </c>
      <c r="O10" s="69">
        <f t="shared" si="11"/>
        <v>8666.715235</v>
      </c>
      <c r="P10" s="69">
        <f t="shared" si="12"/>
        <v>8514.139868</v>
      </c>
      <c r="Q10" s="69">
        <f t="shared" si="13"/>
        <v>8364.250552</v>
      </c>
      <c r="R10" s="69">
        <f t="shared" si="14"/>
        <v>8217</v>
      </c>
      <c r="S10" s="69">
        <f t="shared" si="15"/>
        <v>8072.341757</v>
      </c>
      <c r="T10" s="69">
        <f t="shared" si="16"/>
        <v>7930.230187</v>
      </c>
      <c r="U10" s="69">
        <f t="shared" si="17"/>
        <v>7790.620456</v>
      </c>
      <c r="V10" s="69">
        <f t="shared" si="18"/>
        <v>7653.46852</v>
      </c>
    </row>
    <row r="11">
      <c r="A11" s="24">
        <v>2.61160609E9</v>
      </c>
      <c r="B11" s="24" t="s">
        <v>48</v>
      </c>
      <c r="C11" s="24">
        <v>24986.0</v>
      </c>
      <c r="D11" s="24">
        <v>20610.0</v>
      </c>
      <c r="E11" s="72">
        <f t="shared" si="1"/>
        <v>0.9840830949</v>
      </c>
      <c r="F11" s="69">
        <f t="shared" si="2"/>
        <v>24986</v>
      </c>
      <c r="G11" s="69">
        <f t="shared" si="3"/>
        <v>24588.30021</v>
      </c>
      <c r="H11" s="69">
        <f t="shared" si="4"/>
        <v>24196.93057</v>
      </c>
      <c r="I11" s="69">
        <f t="shared" si="5"/>
        <v>23811.79032</v>
      </c>
      <c r="J11" s="69">
        <f t="shared" si="6"/>
        <v>23432.78032</v>
      </c>
      <c r="K11" s="69">
        <f t="shared" si="7"/>
        <v>23059.80298</v>
      </c>
      <c r="L11" s="69">
        <f t="shared" si="8"/>
        <v>22692.76228</v>
      </c>
      <c r="M11" s="69">
        <f t="shared" si="9"/>
        <v>22331.56374</v>
      </c>
      <c r="N11" s="69">
        <f t="shared" si="10"/>
        <v>21976.11436</v>
      </c>
      <c r="O11" s="69">
        <f t="shared" si="11"/>
        <v>21626.32263</v>
      </c>
      <c r="P11" s="69">
        <f t="shared" si="12"/>
        <v>21282.09851</v>
      </c>
      <c r="Q11" s="69">
        <f t="shared" si="13"/>
        <v>20943.35337</v>
      </c>
      <c r="R11" s="69">
        <f t="shared" si="14"/>
        <v>20610</v>
      </c>
      <c r="S11" s="69">
        <f t="shared" si="15"/>
        <v>20281.95259</v>
      </c>
      <c r="T11" s="69">
        <f t="shared" si="16"/>
        <v>19959.12667</v>
      </c>
      <c r="U11" s="69">
        <f t="shared" si="17"/>
        <v>19641.43915</v>
      </c>
      <c r="V11" s="69">
        <f t="shared" si="18"/>
        <v>19328.80823</v>
      </c>
    </row>
    <row r="12">
      <c r="A12" s="24">
        <v>2.61160605E9</v>
      </c>
      <c r="B12" s="24" t="s">
        <v>49</v>
      </c>
      <c r="C12" s="24">
        <v>12453.0</v>
      </c>
      <c r="D12" s="24">
        <v>10365.0</v>
      </c>
      <c r="E12" s="72">
        <f t="shared" si="1"/>
        <v>0.9848224568</v>
      </c>
      <c r="F12" s="69">
        <f t="shared" si="2"/>
        <v>12453</v>
      </c>
      <c r="G12" s="69">
        <f t="shared" si="3"/>
        <v>12263.99405</v>
      </c>
      <c r="H12" s="69">
        <f t="shared" si="4"/>
        <v>12077.85675</v>
      </c>
      <c r="I12" s="69">
        <f t="shared" si="5"/>
        <v>11894.54456</v>
      </c>
      <c r="J12" s="69">
        <f t="shared" si="6"/>
        <v>11714.0146</v>
      </c>
      <c r="K12" s="69">
        <f t="shared" si="7"/>
        <v>11536.22463</v>
      </c>
      <c r="L12" s="69">
        <f t="shared" si="8"/>
        <v>11361.13309</v>
      </c>
      <c r="M12" s="69">
        <f t="shared" si="9"/>
        <v>11188.699</v>
      </c>
      <c r="N12" s="69">
        <f t="shared" si="10"/>
        <v>11018.88203</v>
      </c>
      <c r="O12" s="69">
        <f t="shared" si="11"/>
        <v>10851.64248</v>
      </c>
      <c r="P12" s="69">
        <f t="shared" si="12"/>
        <v>10686.9412</v>
      </c>
      <c r="Q12" s="69">
        <f t="shared" si="13"/>
        <v>10524.73969</v>
      </c>
      <c r="R12" s="69">
        <f t="shared" si="14"/>
        <v>10365</v>
      </c>
      <c r="S12" s="69">
        <f t="shared" si="15"/>
        <v>10207.68476</v>
      </c>
      <c r="T12" s="69">
        <f t="shared" si="16"/>
        <v>10052.75719</v>
      </c>
      <c r="U12" s="69">
        <f t="shared" si="17"/>
        <v>9900.181031</v>
      </c>
      <c r="V12" s="69">
        <f t="shared" si="18"/>
        <v>9749.920605</v>
      </c>
    </row>
    <row r="13">
      <c r="A13" s="24">
        <v>2.611606079E9</v>
      </c>
      <c r="B13" s="24" t="s">
        <v>50</v>
      </c>
      <c r="C13" s="24">
        <v>10458.0</v>
      </c>
      <c r="D13" s="24">
        <v>8738.0</v>
      </c>
      <c r="E13" s="72">
        <f t="shared" si="1"/>
        <v>0.9851377248</v>
      </c>
      <c r="F13" s="69">
        <f t="shared" si="2"/>
        <v>10458</v>
      </c>
      <c r="G13" s="69">
        <f t="shared" si="3"/>
        <v>10302.57033</v>
      </c>
      <c r="H13" s="69">
        <f t="shared" si="4"/>
        <v>10149.45069</v>
      </c>
      <c r="I13" s="69">
        <f t="shared" si="5"/>
        <v>9998.606762</v>
      </c>
      <c r="J13" s="69">
        <f t="shared" si="6"/>
        <v>9850.004717</v>
      </c>
      <c r="K13" s="69">
        <f t="shared" si="7"/>
        <v>9703.611236</v>
      </c>
      <c r="L13" s="69">
        <f t="shared" si="8"/>
        <v>9559.393495</v>
      </c>
      <c r="M13" s="69">
        <f t="shared" si="9"/>
        <v>9417.319159</v>
      </c>
      <c r="N13" s="69">
        <f t="shared" si="10"/>
        <v>9277.35637</v>
      </c>
      <c r="O13" s="69">
        <f t="shared" si="11"/>
        <v>9139.473746</v>
      </c>
      <c r="P13" s="69">
        <f t="shared" si="12"/>
        <v>9003.640373</v>
      </c>
      <c r="Q13" s="69">
        <f t="shared" si="13"/>
        <v>8869.825792</v>
      </c>
      <c r="R13" s="69">
        <f t="shared" si="14"/>
        <v>8738</v>
      </c>
      <c r="S13" s="69">
        <f t="shared" si="15"/>
        <v>8608.133439</v>
      </c>
      <c r="T13" s="69">
        <f t="shared" si="16"/>
        <v>8480.196991</v>
      </c>
      <c r="U13" s="69">
        <f t="shared" si="17"/>
        <v>8354.16197</v>
      </c>
      <c r="V13" s="69">
        <f t="shared" si="18"/>
        <v>8230.000116</v>
      </c>
    </row>
    <row r="14">
      <c r="A14" s="24">
        <v>2.611606045E9</v>
      </c>
      <c r="B14" s="24" t="s">
        <v>51</v>
      </c>
      <c r="C14" s="24">
        <v>34204.0</v>
      </c>
      <c r="D14" s="24">
        <v>28697.0</v>
      </c>
      <c r="E14" s="72">
        <f t="shared" si="1"/>
        <v>0.985477319</v>
      </c>
      <c r="F14" s="69">
        <f t="shared" si="2"/>
        <v>34204</v>
      </c>
      <c r="G14" s="69">
        <f t="shared" si="3"/>
        <v>33707.26622</v>
      </c>
      <c r="H14" s="69">
        <f t="shared" si="4"/>
        <v>33217.74634</v>
      </c>
      <c r="I14" s="69">
        <f t="shared" si="5"/>
        <v>32735.33561</v>
      </c>
      <c r="J14" s="69">
        <f t="shared" si="6"/>
        <v>32259.93077</v>
      </c>
      <c r="K14" s="69">
        <f t="shared" si="7"/>
        <v>31791.43009</v>
      </c>
      <c r="L14" s="69">
        <f t="shared" si="8"/>
        <v>31329.73329</v>
      </c>
      <c r="M14" s="69">
        <f t="shared" si="9"/>
        <v>30874.74157</v>
      </c>
      <c r="N14" s="69">
        <f t="shared" si="10"/>
        <v>30426.35754</v>
      </c>
      <c r="O14" s="69">
        <f t="shared" si="11"/>
        <v>29984.48526</v>
      </c>
      <c r="P14" s="69">
        <f t="shared" si="12"/>
        <v>29549.03014</v>
      </c>
      <c r="Q14" s="69">
        <f t="shared" si="13"/>
        <v>29119.899</v>
      </c>
      <c r="R14" s="69">
        <f t="shared" si="14"/>
        <v>28697</v>
      </c>
      <c r="S14" s="69">
        <f t="shared" si="15"/>
        <v>28280.24262</v>
      </c>
      <c r="T14" s="69">
        <f t="shared" si="16"/>
        <v>27869.53768</v>
      </c>
      <c r="U14" s="69">
        <f t="shared" si="17"/>
        <v>27464.79727</v>
      </c>
      <c r="V14" s="69">
        <f t="shared" si="18"/>
        <v>27065.93478</v>
      </c>
    </row>
    <row r="15">
      <c r="A15" s="24">
        <v>2.611606014E9</v>
      </c>
      <c r="B15" s="24" t="s">
        <v>52</v>
      </c>
      <c r="C15" s="24">
        <v>1591.0</v>
      </c>
      <c r="D15" s="24">
        <v>1342.0</v>
      </c>
      <c r="E15" s="72">
        <f t="shared" si="1"/>
        <v>0.9859166357</v>
      </c>
      <c r="F15" s="69">
        <f t="shared" si="2"/>
        <v>1591</v>
      </c>
      <c r="G15" s="69">
        <f t="shared" si="3"/>
        <v>1568.593367</v>
      </c>
      <c r="H15" s="69">
        <f t="shared" si="4"/>
        <v>1546.502296</v>
      </c>
      <c r="I15" s="69">
        <f t="shared" si="5"/>
        <v>1524.72234</v>
      </c>
      <c r="J15" s="69">
        <f t="shared" si="6"/>
        <v>1503.24912</v>
      </c>
      <c r="K15" s="69">
        <f t="shared" si="7"/>
        <v>1482.078315</v>
      </c>
      <c r="L15" s="69">
        <f t="shared" si="8"/>
        <v>1461.205667</v>
      </c>
      <c r="M15" s="69">
        <f t="shared" si="9"/>
        <v>1440.626975</v>
      </c>
      <c r="N15" s="69">
        <f t="shared" si="10"/>
        <v>1420.3381</v>
      </c>
      <c r="O15" s="69">
        <f t="shared" si="11"/>
        <v>1400.334962</v>
      </c>
      <c r="P15" s="69">
        <f t="shared" si="12"/>
        <v>1380.613534</v>
      </c>
      <c r="Q15" s="69">
        <f t="shared" si="13"/>
        <v>1361.169851</v>
      </c>
      <c r="R15" s="69">
        <f t="shared" si="14"/>
        <v>1342</v>
      </c>
      <c r="S15" s="69">
        <f t="shared" si="15"/>
        <v>1323.100125</v>
      </c>
      <c r="T15" s="69">
        <f t="shared" si="16"/>
        <v>1304.466424</v>
      </c>
      <c r="U15" s="69">
        <f t="shared" si="17"/>
        <v>1286.095148</v>
      </c>
      <c r="V15" s="69">
        <f t="shared" si="18"/>
        <v>1267.982602</v>
      </c>
    </row>
    <row r="16">
      <c r="A16" s="24">
        <v>2.611606032E9</v>
      </c>
      <c r="B16" s="24" t="s">
        <v>53</v>
      </c>
      <c r="C16" s="24">
        <v>7694.0</v>
      </c>
      <c r="D16" s="24">
        <v>6495.0</v>
      </c>
      <c r="E16" s="72">
        <f t="shared" si="1"/>
        <v>0.9859818363</v>
      </c>
      <c r="F16" s="69">
        <f t="shared" si="2"/>
        <v>7694</v>
      </c>
      <c r="G16" s="69">
        <f t="shared" si="3"/>
        <v>7586.144248</v>
      </c>
      <c r="H16" s="69">
        <f t="shared" si="4"/>
        <v>7479.800436</v>
      </c>
      <c r="I16" s="69">
        <f t="shared" si="5"/>
        <v>7374.947369</v>
      </c>
      <c r="J16" s="69">
        <f t="shared" si="6"/>
        <v>7271.564149</v>
      </c>
      <c r="K16" s="69">
        <f t="shared" si="7"/>
        <v>7169.630172</v>
      </c>
      <c r="L16" s="69">
        <f t="shared" si="8"/>
        <v>7069.125123</v>
      </c>
      <c r="M16" s="69">
        <f t="shared" si="9"/>
        <v>6970.028969</v>
      </c>
      <c r="N16" s="69">
        <f t="shared" si="10"/>
        <v>6872.321962</v>
      </c>
      <c r="O16" s="69">
        <f t="shared" si="11"/>
        <v>6775.984627</v>
      </c>
      <c r="P16" s="69">
        <f t="shared" si="12"/>
        <v>6680.997766</v>
      </c>
      <c r="Q16" s="69">
        <f t="shared" si="13"/>
        <v>6587.342445</v>
      </c>
      <c r="R16" s="69">
        <f t="shared" si="14"/>
        <v>6495</v>
      </c>
      <c r="S16" s="69">
        <f t="shared" si="15"/>
        <v>6403.952027</v>
      </c>
      <c r="T16" s="69">
        <f t="shared" si="16"/>
        <v>6314.180379</v>
      </c>
      <c r="U16" s="69">
        <f t="shared" si="17"/>
        <v>6225.667164</v>
      </c>
      <c r="V16" s="69">
        <f t="shared" si="18"/>
        <v>6138.394742</v>
      </c>
    </row>
    <row r="17">
      <c r="A17" s="24">
        <v>2.611606004E9</v>
      </c>
      <c r="B17" s="24" t="s">
        <v>54</v>
      </c>
      <c r="C17" s="24">
        <v>2459.0</v>
      </c>
      <c r="D17" s="24">
        <v>2081.0</v>
      </c>
      <c r="E17" s="72">
        <f t="shared" si="1"/>
        <v>0.9861874299</v>
      </c>
      <c r="F17" s="69">
        <f t="shared" si="2"/>
        <v>2459</v>
      </c>
      <c r="G17" s="69">
        <f t="shared" si="3"/>
        <v>2425.03489</v>
      </c>
      <c r="H17" s="69">
        <f t="shared" si="4"/>
        <v>2391.538925</v>
      </c>
      <c r="I17" s="69">
        <f t="shared" si="5"/>
        <v>2358.505626</v>
      </c>
      <c r="J17" s="69">
        <f t="shared" si="6"/>
        <v>2325.928602</v>
      </c>
      <c r="K17" s="69">
        <f t="shared" si="7"/>
        <v>2293.80155</v>
      </c>
      <c r="L17" s="69">
        <f t="shared" si="8"/>
        <v>2262.118255</v>
      </c>
      <c r="M17" s="69">
        <f t="shared" si="9"/>
        <v>2230.872588</v>
      </c>
      <c r="N17" s="69">
        <f t="shared" si="10"/>
        <v>2200.058504</v>
      </c>
      <c r="O17" s="69">
        <f t="shared" si="11"/>
        <v>2169.670041</v>
      </c>
      <c r="P17" s="69">
        <f t="shared" si="12"/>
        <v>2139.701322</v>
      </c>
      <c r="Q17" s="69">
        <f t="shared" si="13"/>
        <v>2110.146547</v>
      </c>
      <c r="R17" s="69">
        <f t="shared" si="14"/>
        <v>2081</v>
      </c>
      <c r="S17" s="69">
        <f t="shared" si="15"/>
        <v>2052.256042</v>
      </c>
      <c r="T17" s="69">
        <f t="shared" si="16"/>
        <v>2023.909111</v>
      </c>
      <c r="U17" s="69">
        <f t="shared" si="17"/>
        <v>1995.953724</v>
      </c>
      <c r="V17" s="69">
        <f t="shared" si="18"/>
        <v>1968.384474</v>
      </c>
    </row>
    <row r="18">
      <c r="A18" s="24">
        <v>2.611606056E9</v>
      </c>
      <c r="B18" s="24" t="s">
        <v>55</v>
      </c>
      <c r="C18" s="24">
        <v>3027.0</v>
      </c>
      <c r="D18" s="24">
        <v>2574.0</v>
      </c>
      <c r="E18" s="72">
        <f t="shared" si="1"/>
        <v>0.9865815969</v>
      </c>
      <c r="F18" s="69">
        <f t="shared" si="2"/>
        <v>3027</v>
      </c>
      <c r="G18" s="69">
        <f t="shared" si="3"/>
        <v>2986.382494</v>
      </c>
      <c r="H18" s="69">
        <f t="shared" si="4"/>
        <v>2946.31001</v>
      </c>
      <c r="I18" s="69">
        <f t="shared" si="5"/>
        <v>2906.775234</v>
      </c>
      <c r="J18" s="69">
        <f t="shared" si="6"/>
        <v>2867.770953</v>
      </c>
      <c r="K18" s="69">
        <f t="shared" si="7"/>
        <v>2829.290046</v>
      </c>
      <c r="L18" s="69">
        <f t="shared" si="8"/>
        <v>2791.325492</v>
      </c>
      <c r="M18" s="69">
        <f t="shared" si="9"/>
        <v>2753.870361</v>
      </c>
      <c r="N18" s="69">
        <f t="shared" si="10"/>
        <v>2716.917818</v>
      </c>
      <c r="O18" s="69">
        <f t="shared" si="11"/>
        <v>2680.46112</v>
      </c>
      <c r="P18" s="69">
        <f t="shared" si="12"/>
        <v>2644.493612</v>
      </c>
      <c r="Q18" s="69">
        <f t="shared" si="13"/>
        <v>2609.008731</v>
      </c>
      <c r="R18" s="69">
        <f t="shared" si="14"/>
        <v>2574</v>
      </c>
      <c r="S18" s="69">
        <f t="shared" si="15"/>
        <v>2539.46103</v>
      </c>
      <c r="T18" s="69">
        <f t="shared" si="16"/>
        <v>2505.385519</v>
      </c>
      <c r="U18" s="69">
        <f t="shared" si="17"/>
        <v>2471.767246</v>
      </c>
      <c r="V18" s="69">
        <f t="shared" si="18"/>
        <v>2438.600077</v>
      </c>
    </row>
    <row r="19">
      <c r="A19" s="24">
        <v>2.611606067E9</v>
      </c>
      <c r="B19" s="24" t="s">
        <v>56</v>
      </c>
      <c r="C19" s="24">
        <v>12415.0</v>
      </c>
      <c r="D19" s="24">
        <v>10642.0</v>
      </c>
      <c r="E19" s="72">
        <f t="shared" si="1"/>
        <v>0.9872406839</v>
      </c>
      <c r="F19" s="69">
        <f t="shared" si="2"/>
        <v>12415</v>
      </c>
      <c r="G19" s="69">
        <f t="shared" si="3"/>
        <v>12256.59309</v>
      </c>
      <c r="H19" s="69">
        <f t="shared" si="4"/>
        <v>12100.20735</v>
      </c>
      <c r="I19" s="69">
        <f t="shared" si="5"/>
        <v>11945.81698</v>
      </c>
      <c r="J19" s="69">
        <f t="shared" si="6"/>
        <v>11793.39652</v>
      </c>
      <c r="K19" s="69">
        <f t="shared" si="7"/>
        <v>11642.92085</v>
      </c>
      <c r="L19" s="69">
        <f t="shared" si="8"/>
        <v>11494.36514</v>
      </c>
      <c r="M19" s="69">
        <f t="shared" si="9"/>
        <v>11347.7049</v>
      </c>
      <c r="N19" s="69">
        <f t="shared" si="10"/>
        <v>11202.91595</v>
      </c>
      <c r="O19" s="69">
        <f t="shared" si="11"/>
        <v>11059.9744</v>
      </c>
      <c r="P19" s="69">
        <f t="shared" si="12"/>
        <v>10918.8567</v>
      </c>
      <c r="Q19" s="69">
        <f t="shared" si="13"/>
        <v>10779.53955</v>
      </c>
      <c r="R19" s="69">
        <f t="shared" si="14"/>
        <v>10642</v>
      </c>
      <c r="S19" s="69">
        <f t="shared" si="15"/>
        <v>10506.21536</v>
      </c>
      <c r="T19" s="69">
        <f t="shared" si="16"/>
        <v>10372.16324</v>
      </c>
      <c r="U19" s="69">
        <f t="shared" si="17"/>
        <v>10239.82153</v>
      </c>
      <c r="V19" s="69">
        <f t="shared" si="18"/>
        <v>10109.16841</v>
      </c>
    </row>
    <row r="20">
      <c r="A20" s="24">
        <v>2.611606081E9</v>
      </c>
      <c r="B20" s="24" t="s">
        <v>57</v>
      </c>
      <c r="C20" s="24">
        <v>2419.0</v>
      </c>
      <c r="D20" s="24">
        <v>2074.0</v>
      </c>
      <c r="E20" s="72">
        <f t="shared" si="1"/>
        <v>0.9872589366</v>
      </c>
      <c r="F20" s="69">
        <f t="shared" si="2"/>
        <v>2419</v>
      </c>
      <c r="G20" s="69">
        <f t="shared" si="3"/>
        <v>2388.179368</v>
      </c>
      <c r="H20" s="69">
        <f t="shared" si="4"/>
        <v>2357.751423</v>
      </c>
      <c r="I20" s="69">
        <f t="shared" si="5"/>
        <v>2327.711163</v>
      </c>
      <c r="J20" s="69">
        <f t="shared" si="6"/>
        <v>2298.053647</v>
      </c>
      <c r="K20" s="69">
        <f t="shared" si="7"/>
        <v>2268.774</v>
      </c>
      <c r="L20" s="69">
        <f t="shared" si="8"/>
        <v>2239.867407</v>
      </c>
      <c r="M20" s="69">
        <f t="shared" si="9"/>
        <v>2211.329114</v>
      </c>
      <c r="N20" s="69">
        <f t="shared" si="10"/>
        <v>2183.15443</v>
      </c>
      <c r="O20" s="69">
        <f t="shared" si="11"/>
        <v>2155.338721</v>
      </c>
      <c r="P20" s="69">
        <f t="shared" si="12"/>
        <v>2127.877414</v>
      </c>
      <c r="Q20" s="69">
        <f t="shared" si="13"/>
        <v>2100.765993</v>
      </c>
      <c r="R20" s="69">
        <f t="shared" si="14"/>
        <v>2074</v>
      </c>
      <c r="S20" s="69">
        <f t="shared" si="15"/>
        <v>2047.575035</v>
      </c>
      <c r="T20" s="69">
        <f t="shared" si="16"/>
        <v>2021.486751</v>
      </c>
      <c r="U20" s="69">
        <f t="shared" si="17"/>
        <v>1995.73086</v>
      </c>
      <c r="V20" s="69">
        <f t="shared" si="18"/>
        <v>1970.303127</v>
      </c>
    </row>
    <row r="21">
      <c r="A21" s="24">
        <v>2.611606049E9</v>
      </c>
      <c r="B21" s="24" t="s">
        <v>58</v>
      </c>
      <c r="C21" s="24">
        <v>31016.0</v>
      </c>
      <c r="D21" s="62">
        <v>26631.0</v>
      </c>
      <c r="E21" s="72">
        <f t="shared" si="1"/>
        <v>0.9873780625</v>
      </c>
      <c r="F21" s="69">
        <f t="shared" si="2"/>
        <v>31016</v>
      </c>
      <c r="G21" s="69">
        <f t="shared" si="3"/>
        <v>30624.51799</v>
      </c>
      <c r="H21" s="69">
        <f t="shared" si="4"/>
        <v>30237.97724</v>
      </c>
      <c r="I21" s="69">
        <f t="shared" si="5"/>
        <v>29856.31538</v>
      </c>
      <c r="J21" s="69">
        <f t="shared" si="6"/>
        <v>29479.47083</v>
      </c>
      <c r="K21" s="69">
        <f t="shared" si="7"/>
        <v>29107.3828</v>
      </c>
      <c r="L21" s="69">
        <f t="shared" si="8"/>
        <v>28739.99123</v>
      </c>
      <c r="M21" s="69">
        <f t="shared" si="9"/>
        <v>28377.23686</v>
      </c>
      <c r="N21" s="69">
        <f t="shared" si="10"/>
        <v>28019.06115</v>
      </c>
      <c r="O21" s="69">
        <f t="shared" si="11"/>
        <v>27665.40631</v>
      </c>
      <c r="P21" s="69">
        <f t="shared" si="12"/>
        <v>27316.21529</v>
      </c>
      <c r="Q21" s="69">
        <f t="shared" si="13"/>
        <v>26971.43172</v>
      </c>
      <c r="R21" s="69">
        <f t="shared" si="14"/>
        <v>26631</v>
      </c>
      <c r="S21" s="69">
        <f t="shared" si="15"/>
        <v>26294.86518</v>
      </c>
      <c r="T21" s="69">
        <f t="shared" si="16"/>
        <v>25962.97304</v>
      </c>
      <c r="U21" s="69">
        <f t="shared" si="17"/>
        <v>25635.27002</v>
      </c>
      <c r="V21" s="69">
        <f t="shared" si="18"/>
        <v>25311.70324</v>
      </c>
    </row>
    <row r="22">
      <c r="A22" s="24">
        <v>2.611606031E9</v>
      </c>
      <c r="B22" s="24" t="s">
        <v>59</v>
      </c>
      <c r="C22" s="24">
        <v>7703.0</v>
      </c>
      <c r="D22" s="24">
        <v>6620.0</v>
      </c>
      <c r="E22" s="72">
        <f t="shared" si="1"/>
        <v>0.9874531684</v>
      </c>
      <c r="F22" s="69">
        <f t="shared" si="2"/>
        <v>7703</v>
      </c>
      <c r="G22" s="69">
        <f t="shared" si="3"/>
        <v>7606.351756</v>
      </c>
      <c r="H22" s="69">
        <f t="shared" si="4"/>
        <v>7510.916141</v>
      </c>
      <c r="I22" s="69">
        <f t="shared" si="5"/>
        <v>7416.677941</v>
      </c>
      <c r="J22" s="69">
        <f t="shared" si="6"/>
        <v>7323.622131</v>
      </c>
      <c r="K22" s="69">
        <f t="shared" si="7"/>
        <v>7231.733877</v>
      </c>
      <c r="L22" s="69">
        <f t="shared" si="8"/>
        <v>7140.99853</v>
      </c>
      <c r="M22" s="69">
        <f t="shared" si="9"/>
        <v>7051.401623</v>
      </c>
      <c r="N22" s="69">
        <f t="shared" si="10"/>
        <v>6962.928874</v>
      </c>
      <c r="O22" s="69">
        <f t="shared" si="11"/>
        <v>6875.566178</v>
      </c>
      <c r="P22" s="69">
        <f t="shared" si="12"/>
        <v>6789.299607</v>
      </c>
      <c r="Q22" s="69">
        <f t="shared" si="13"/>
        <v>6704.115407</v>
      </c>
      <c r="R22" s="69">
        <f t="shared" si="14"/>
        <v>6620</v>
      </c>
      <c r="S22" s="69">
        <f t="shared" si="15"/>
        <v>6536.939974</v>
      </c>
      <c r="T22" s="69">
        <f t="shared" si="16"/>
        <v>6454.922089</v>
      </c>
      <c r="U22" s="69">
        <f t="shared" si="17"/>
        <v>6373.933268</v>
      </c>
      <c r="V22" s="69">
        <f t="shared" si="18"/>
        <v>6293.960601</v>
      </c>
    </row>
    <row r="23">
      <c r="A23" s="24">
        <v>2.611606015E9</v>
      </c>
      <c r="B23" s="24" t="s">
        <v>60</v>
      </c>
      <c r="C23" s="24">
        <v>5768.0</v>
      </c>
      <c r="D23" s="24">
        <v>4990.0</v>
      </c>
      <c r="E23" s="72">
        <f t="shared" si="1"/>
        <v>0.9879984756</v>
      </c>
      <c r="F23" s="69">
        <f t="shared" si="2"/>
        <v>5768</v>
      </c>
      <c r="G23" s="69">
        <f t="shared" si="3"/>
        <v>5698.775207</v>
      </c>
      <c r="H23" s="69">
        <f t="shared" si="4"/>
        <v>5630.381217</v>
      </c>
      <c r="I23" s="69">
        <f t="shared" si="5"/>
        <v>5562.808059</v>
      </c>
      <c r="J23" s="69">
        <f t="shared" si="6"/>
        <v>5496.045883</v>
      </c>
      <c r="K23" s="69">
        <f t="shared" si="7"/>
        <v>5430.084954</v>
      </c>
      <c r="L23" s="69">
        <f t="shared" si="8"/>
        <v>5364.915656</v>
      </c>
      <c r="M23" s="69">
        <f t="shared" si="9"/>
        <v>5300.52849</v>
      </c>
      <c r="N23" s="69">
        <f t="shared" si="10"/>
        <v>5236.914068</v>
      </c>
      <c r="O23" s="69">
        <f t="shared" si="11"/>
        <v>5174.063116</v>
      </c>
      <c r="P23" s="69">
        <f t="shared" si="12"/>
        <v>5111.966471</v>
      </c>
      <c r="Q23" s="69">
        <f t="shared" si="13"/>
        <v>5050.61508</v>
      </c>
      <c r="R23" s="69">
        <f t="shared" si="14"/>
        <v>4990</v>
      </c>
      <c r="S23" s="69">
        <f t="shared" si="15"/>
        <v>4930.112393</v>
      </c>
      <c r="T23" s="69">
        <f t="shared" si="16"/>
        <v>4870.943529</v>
      </c>
      <c r="U23" s="69">
        <f t="shared" si="17"/>
        <v>4812.484781</v>
      </c>
      <c r="V23" s="69">
        <f t="shared" si="18"/>
        <v>4754.727627</v>
      </c>
    </row>
    <row r="24">
      <c r="A24" s="24">
        <v>2.611606075E9</v>
      </c>
      <c r="B24" s="24" t="s">
        <v>61</v>
      </c>
      <c r="C24" s="24">
        <v>36205.0</v>
      </c>
      <c r="D24" s="24">
        <v>31457.0</v>
      </c>
      <c r="E24" s="72">
        <f t="shared" si="1"/>
        <v>0.9883537078</v>
      </c>
      <c r="F24" s="69">
        <f t="shared" si="2"/>
        <v>36205</v>
      </c>
      <c r="G24" s="69">
        <f t="shared" si="3"/>
        <v>35783.34599</v>
      </c>
      <c r="H24" s="69">
        <f t="shared" si="4"/>
        <v>35366.60269</v>
      </c>
      <c r="I24" s="69">
        <f t="shared" si="5"/>
        <v>34954.7129</v>
      </c>
      <c r="J24" s="69">
        <f t="shared" si="6"/>
        <v>34547.6201</v>
      </c>
      <c r="K24" s="69">
        <f t="shared" si="7"/>
        <v>34145.26843</v>
      </c>
      <c r="L24" s="69">
        <f t="shared" si="8"/>
        <v>33747.60266</v>
      </c>
      <c r="M24" s="69">
        <f t="shared" si="9"/>
        <v>33354.56822</v>
      </c>
      <c r="N24" s="69">
        <f t="shared" si="10"/>
        <v>32966.11117</v>
      </c>
      <c r="O24" s="69">
        <f t="shared" si="11"/>
        <v>32582.17821</v>
      </c>
      <c r="P24" s="69">
        <f t="shared" si="12"/>
        <v>32202.71664</v>
      </c>
      <c r="Q24" s="69">
        <f t="shared" si="13"/>
        <v>31827.67439</v>
      </c>
      <c r="R24" s="69">
        <f t="shared" si="14"/>
        <v>31457</v>
      </c>
      <c r="S24" s="69">
        <f t="shared" si="15"/>
        <v>31090.64259</v>
      </c>
      <c r="T24" s="69">
        <f t="shared" si="16"/>
        <v>30728.55188</v>
      </c>
      <c r="U24" s="69">
        <f t="shared" si="17"/>
        <v>30370.67819</v>
      </c>
      <c r="V24" s="69">
        <f t="shared" si="18"/>
        <v>30016.9724</v>
      </c>
    </row>
    <row r="25">
      <c r="A25" s="24">
        <v>2.611606065E9</v>
      </c>
      <c r="B25" s="24" t="s">
        <v>62</v>
      </c>
      <c r="C25" s="24">
        <v>8096.0</v>
      </c>
      <c r="D25" s="24">
        <v>7060.0</v>
      </c>
      <c r="E25" s="72">
        <f t="shared" si="1"/>
        <v>0.9886544302</v>
      </c>
      <c r="F25" s="69">
        <f t="shared" si="2"/>
        <v>8096</v>
      </c>
      <c r="G25" s="69">
        <f t="shared" si="3"/>
        <v>8004.146267</v>
      </c>
      <c r="H25" s="69">
        <f t="shared" si="4"/>
        <v>7913.334667</v>
      </c>
      <c r="I25" s="69">
        <f t="shared" si="5"/>
        <v>7823.553376</v>
      </c>
      <c r="J25" s="69">
        <f t="shared" si="6"/>
        <v>7734.790705</v>
      </c>
      <c r="K25" s="69">
        <f t="shared" si="7"/>
        <v>7647.035098</v>
      </c>
      <c r="L25" s="69">
        <f t="shared" si="8"/>
        <v>7560.275127</v>
      </c>
      <c r="M25" s="69">
        <f t="shared" si="9"/>
        <v>7474.499498</v>
      </c>
      <c r="N25" s="69">
        <f t="shared" si="10"/>
        <v>7389.697043</v>
      </c>
      <c r="O25" s="69">
        <f t="shared" si="11"/>
        <v>7305.856719</v>
      </c>
      <c r="P25" s="69">
        <f t="shared" si="12"/>
        <v>7222.967612</v>
      </c>
      <c r="Q25" s="69">
        <f t="shared" si="13"/>
        <v>7141.018929</v>
      </c>
      <c r="R25" s="69">
        <f t="shared" si="14"/>
        <v>7060</v>
      </c>
      <c r="S25" s="69">
        <f t="shared" si="15"/>
        <v>6979.900277</v>
      </c>
      <c r="T25" s="69">
        <f t="shared" si="16"/>
        <v>6900.709332</v>
      </c>
      <c r="U25" s="69">
        <f t="shared" si="17"/>
        <v>6822.416852</v>
      </c>
      <c r="V25" s="69">
        <f t="shared" si="18"/>
        <v>6745.012646</v>
      </c>
    </row>
    <row r="26">
      <c r="A26" s="24">
        <v>2.611606082E9</v>
      </c>
      <c r="B26" s="24" t="s">
        <v>63</v>
      </c>
      <c r="C26" s="24">
        <v>10793.0</v>
      </c>
      <c r="D26" s="24">
        <v>9427.0</v>
      </c>
      <c r="E26" s="72">
        <f t="shared" si="1"/>
        <v>0.9887866879</v>
      </c>
      <c r="F26" s="69">
        <f t="shared" si="2"/>
        <v>10793</v>
      </c>
      <c r="G26" s="69">
        <f t="shared" si="3"/>
        <v>10671.97472</v>
      </c>
      <c r="H26" s="69">
        <f t="shared" si="4"/>
        <v>10552.30654</v>
      </c>
      <c r="I26" s="69">
        <f t="shared" si="5"/>
        <v>10433.98023</v>
      </c>
      <c r="J26" s="69">
        <f t="shared" si="6"/>
        <v>10316.98075</v>
      </c>
      <c r="K26" s="69">
        <f t="shared" si="7"/>
        <v>10201.29323</v>
      </c>
      <c r="L26" s="69">
        <f t="shared" si="8"/>
        <v>10086.90294</v>
      </c>
      <c r="M26" s="69">
        <f t="shared" si="9"/>
        <v>9973.795353</v>
      </c>
      <c r="N26" s="69">
        <f t="shared" si="10"/>
        <v>9861.956072</v>
      </c>
      <c r="O26" s="69">
        <f t="shared" si="11"/>
        <v>9751.370881</v>
      </c>
      <c r="P26" s="69">
        <f t="shared" si="12"/>
        <v>9642.025715</v>
      </c>
      <c r="Q26" s="69">
        <f t="shared" si="13"/>
        <v>9533.906671</v>
      </c>
      <c r="R26" s="69">
        <f t="shared" si="14"/>
        <v>9427</v>
      </c>
      <c r="S26" s="69">
        <f t="shared" si="15"/>
        <v>9321.292107</v>
      </c>
      <c r="T26" s="69">
        <f t="shared" si="16"/>
        <v>9216.769549</v>
      </c>
      <c r="U26" s="69">
        <f t="shared" si="17"/>
        <v>9113.419035</v>
      </c>
      <c r="V26" s="69">
        <f t="shared" si="18"/>
        <v>9011.227423</v>
      </c>
    </row>
    <row r="27">
      <c r="A27" s="24">
        <v>2.611606042E9</v>
      </c>
      <c r="B27" s="24" t="s">
        <v>64</v>
      </c>
      <c r="C27" s="24">
        <v>9246.0</v>
      </c>
      <c r="D27" s="24">
        <v>8086.0</v>
      </c>
      <c r="E27" s="72">
        <f t="shared" si="1"/>
        <v>0.9888907639</v>
      </c>
      <c r="F27" s="69">
        <f t="shared" si="2"/>
        <v>9246</v>
      </c>
      <c r="G27" s="69">
        <f t="shared" si="3"/>
        <v>9143.284003</v>
      </c>
      <c r="H27" s="69">
        <f t="shared" si="4"/>
        <v>9041.709102</v>
      </c>
      <c r="I27" s="69">
        <f t="shared" si="5"/>
        <v>8941.262621</v>
      </c>
      <c r="J27" s="69">
        <f t="shared" si="6"/>
        <v>8841.932023</v>
      </c>
      <c r="K27" s="69">
        <f t="shared" si="7"/>
        <v>8743.704913</v>
      </c>
      <c r="L27" s="69">
        <f t="shared" si="8"/>
        <v>8646.569031</v>
      </c>
      <c r="M27" s="69">
        <f t="shared" si="9"/>
        <v>8550.512254</v>
      </c>
      <c r="N27" s="69">
        <f t="shared" si="10"/>
        <v>8455.522594</v>
      </c>
      <c r="O27" s="69">
        <f t="shared" si="11"/>
        <v>8361.588197</v>
      </c>
      <c r="P27" s="69">
        <f t="shared" si="12"/>
        <v>8268.69734</v>
      </c>
      <c r="Q27" s="69">
        <f t="shared" si="13"/>
        <v>8176.838429</v>
      </c>
      <c r="R27" s="69">
        <f t="shared" si="14"/>
        <v>8086</v>
      </c>
      <c r="S27" s="69">
        <f t="shared" si="15"/>
        <v>7996.170717</v>
      </c>
      <c r="T27" s="69">
        <f t="shared" si="16"/>
        <v>7907.339368</v>
      </c>
      <c r="U27" s="69">
        <f t="shared" si="17"/>
        <v>7819.494868</v>
      </c>
      <c r="V27" s="69">
        <f t="shared" si="18"/>
        <v>7732.626254</v>
      </c>
    </row>
    <row r="28">
      <c r="A28" s="24">
        <v>2.611606021E9</v>
      </c>
      <c r="B28" s="24" t="s">
        <v>65</v>
      </c>
      <c r="C28" s="24">
        <v>14491.0</v>
      </c>
      <c r="D28" s="24">
        <v>12797.0</v>
      </c>
      <c r="E28" s="72">
        <f t="shared" si="1"/>
        <v>0.9896937275</v>
      </c>
      <c r="F28" s="69">
        <f t="shared" si="2"/>
        <v>14491</v>
      </c>
      <c r="G28" s="69">
        <f t="shared" si="3"/>
        <v>14341.65181</v>
      </c>
      <c r="H28" s="69">
        <f t="shared" si="4"/>
        <v>14193.84283</v>
      </c>
      <c r="I28" s="69">
        <f t="shared" si="5"/>
        <v>14047.55722</v>
      </c>
      <c r="J28" s="69">
        <f t="shared" si="6"/>
        <v>13902.77927</v>
      </c>
      <c r="K28" s="69">
        <f t="shared" si="7"/>
        <v>13759.49344</v>
      </c>
      <c r="L28" s="69">
        <f t="shared" si="8"/>
        <v>13617.68435</v>
      </c>
      <c r="M28" s="69">
        <f t="shared" si="9"/>
        <v>13477.33678</v>
      </c>
      <c r="N28" s="69">
        <f t="shared" si="10"/>
        <v>13338.43568</v>
      </c>
      <c r="O28" s="69">
        <f t="shared" si="11"/>
        <v>13200.96612</v>
      </c>
      <c r="P28" s="69">
        <f t="shared" si="12"/>
        <v>13064.91337</v>
      </c>
      <c r="Q28" s="69">
        <f t="shared" si="13"/>
        <v>12930.26281</v>
      </c>
      <c r="R28" s="69">
        <f t="shared" si="14"/>
        <v>12797</v>
      </c>
      <c r="S28" s="69">
        <f t="shared" si="15"/>
        <v>12665.11063</v>
      </c>
      <c r="T28" s="69">
        <f t="shared" si="16"/>
        <v>12534.58055</v>
      </c>
      <c r="U28" s="69">
        <f t="shared" si="17"/>
        <v>12405.39575</v>
      </c>
      <c r="V28" s="69">
        <f t="shared" si="18"/>
        <v>12277.54236</v>
      </c>
    </row>
    <row r="29">
      <c r="A29" s="24">
        <v>2.611606078E9</v>
      </c>
      <c r="B29" s="24" t="s">
        <v>66</v>
      </c>
      <c r="C29" s="24">
        <v>29892.0</v>
      </c>
      <c r="D29" s="24">
        <v>26740.0</v>
      </c>
      <c r="E29" s="72">
        <f t="shared" si="1"/>
        <v>0.9907571209</v>
      </c>
      <c r="F29" s="69">
        <f t="shared" si="2"/>
        <v>29892</v>
      </c>
      <c r="G29" s="69">
        <f t="shared" si="3"/>
        <v>29615.71186</v>
      </c>
      <c r="H29" s="69">
        <f t="shared" si="4"/>
        <v>29341.97742</v>
      </c>
      <c r="I29" s="69">
        <f t="shared" si="5"/>
        <v>29070.77307</v>
      </c>
      <c r="J29" s="69">
        <f t="shared" si="6"/>
        <v>28802.07543</v>
      </c>
      <c r="K29" s="69">
        <f t="shared" si="7"/>
        <v>28535.86133</v>
      </c>
      <c r="L29" s="69">
        <f t="shared" si="8"/>
        <v>28272.10781</v>
      </c>
      <c r="M29" s="69">
        <f t="shared" si="9"/>
        <v>28010.79214</v>
      </c>
      <c r="N29" s="69">
        <f t="shared" si="10"/>
        <v>27751.89177</v>
      </c>
      <c r="O29" s="69">
        <f t="shared" si="11"/>
        <v>27495.38439</v>
      </c>
      <c r="P29" s="69">
        <f t="shared" si="12"/>
        <v>27241.24788</v>
      </c>
      <c r="Q29" s="69">
        <f t="shared" si="13"/>
        <v>26989.46032</v>
      </c>
      <c r="R29" s="69">
        <f t="shared" si="14"/>
        <v>26740</v>
      </c>
      <c r="S29" s="69">
        <f t="shared" si="15"/>
        <v>26492.84541</v>
      </c>
      <c r="T29" s="69">
        <f t="shared" si="16"/>
        <v>26247.97525</v>
      </c>
      <c r="U29" s="69">
        <f t="shared" si="17"/>
        <v>26005.36839</v>
      </c>
      <c r="V29" s="69">
        <f t="shared" si="18"/>
        <v>25765.00391</v>
      </c>
    </row>
    <row r="30">
      <c r="A30" s="24">
        <v>2.611606035E9</v>
      </c>
      <c r="B30" s="24" t="s">
        <v>67</v>
      </c>
      <c r="C30" s="24">
        <v>43523.0</v>
      </c>
      <c r="D30" s="24">
        <v>39012.0</v>
      </c>
      <c r="E30" s="72">
        <f t="shared" si="1"/>
        <v>0.9909230925</v>
      </c>
      <c r="F30" s="69">
        <f t="shared" si="2"/>
        <v>43523</v>
      </c>
      <c r="G30" s="69">
        <f t="shared" si="3"/>
        <v>43127.94576</v>
      </c>
      <c r="H30" s="69">
        <f t="shared" si="4"/>
        <v>42736.47738</v>
      </c>
      <c r="I30" s="69">
        <f t="shared" si="5"/>
        <v>42348.56233</v>
      </c>
      <c r="J30" s="69">
        <f t="shared" si="6"/>
        <v>41964.16835</v>
      </c>
      <c r="K30" s="69">
        <f t="shared" si="7"/>
        <v>41583.26348</v>
      </c>
      <c r="L30" s="69">
        <f t="shared" si="8"/>
        <v>41205.81605</v>
      </c>
      <c r="M30" s="69">
        <f t="shared" si="9"/>
        <v>40831.79467</v>
      </c>
      <c r="N30" s="69">
        <f t="shared" si="10"/>
        <v>40461.16825</v>
      </c>
      <c r="O30" s="69">
        <f t="shared" si="11"/>
        <v>40093.90597</v>
      </c>
      <c r="P30" s="69">
        <f t="shared" si="12"/>
        <v>39729.97729</v>
      </c>
      <c r="Q30" s="69">
        <f t="shared" si="13"/>
        <v>39369.35196</v>
      </c>
      <c r="R30" s="69">
        <f t="shared" si="14"/>
        <v>39012</v>
      </c>
      <c r="S30" s="69">
        <f t="shared" si="15"/>
        <v>38657.89169</v>
      </c>
      <c r="T30" s="69">
        <f t="shared" si="16"/>
        <v>38306.99758</v>
      </c>
      <c r="U30" s="69">
        <f t="shared" si="17"/>
        <v>37959.28851</v>
      </c>
      <c r="V30" s="69">
        <f t="shared" si="18"/>
        <v>37614.73556</v>
      </c>
    </row>
    <row r="31">
      <c r="A31" s="24">
        <v>2.611606089E9</v>
      </c>
      <c r="B31" s="24" t="s">
        <v>68</v>
      </c>
      <c r="C31" s="24">
        <v>50533.0</v>
      </c>
      <c r="D31" s="24">
        <v>45448.0</v>
      </c>
      <c r="E31" s="72">
        <f t="shared" si="1"/>
        <v>0.9912007939</v>
      </c>
      <c r="F31" s="69">
        <f t="shared" si="2"/>
        <v>50533</v>
      </c>
      <c r="G31" s="69">
        <f t="shared" si="3"/>
        <v>50088.34972</v>
      </c>
      <c r="H31" s="69">
        <f t="shared" si="4"/>
        <v>49647.612</v>
      </c>
      <c r="I31" s="69">
        <f t="shared" si="5"/>
        <v>49210.75243</v>
      </c>
      <c r="J31" s="69">
        <f t="shared" si="6"/>
        <v>48777.73688</v>
      </c>
      <c r="K31" s="69">
        <f t="shared" si="7"/>
        <v>48348.53152</v>
      </c>
      <c r="L31" s="69">
        <f t="shared" si="8"/>
        <v>47923.10282</v>
      </c>
      <c r="M31" s="69">
        <f t="shared" si="9"/>
        <v>47501.41756</v>
      </c>
      <c r="N31" s="69">
        <f t="shared" si="10"/>
        <v>47083.4428</v>
      </c>
      <c r="O31" s="69">
        <f t="shared" si="11"/>
        <v>46669.14588</v>
      </c>
      <c r="P31" s="69">
        <f t="shared" si="12"/>
        <v>46258.49444</v>
      </c>
      <c r="Q31" s="69">
        <f t="shared" si="13"/>
        <v>45851.45642</v>
      </c>
      <c r="R31" s="69">
        <f t="shared" si="14"/>
        <v>45448</v>
      </c>
      <c r="S31" s="69">
        <f t="shared" si="15"/>
        <v>45048.09368</v>
      </c>
      <c r="T31" s="69">
        <f t="shared" si="16"/>
        <v>44651.70622</v>
      </c>
      <c r="U31" s="69">
        <f t="shared" si="17"/>
        <v>44258.80665</v>
      </c>
      <c r="V31" s="69">
        <f t="shared" si="18"/>
        <v>43869.36429</v>
      </c>
    </row>
    <row r="32">
      <c r="A32" s="24">
        <v>2.611606068E9</v>
      </c>
      <c r="B32" s="24" t="s">
        <v>69</v>
      </c>
      <c r="C32" s="24">
        <v>8476.0</v>
      </c>
      <c r="D32" s="24">
        <v>7664.0</v>
      </c>
      <c r="E32" s="72">
        <f t="shared" si="1"/>
        <v>0.991643065</v>
      </c>
      <c r="F32" s="69">
        <f t="shared" si="2"/>
        <v>8476</v>
      </c>
      <c r="G32" s="69">
        <f t="shared" si="3"/>
        <v>8405.166619</v>
      </c>
      <c r="H32" s="69">
        <f t="shared" si="4"/>
        <v>8334.925187</v>
      </c>
      <c r="I32" s="69">
        <f t="shared" si="5"/>
        <v>8265.270759</v>
      </c>
      <c r="J32" s="69">
        <f t="shared" si="6"/>
        <v>8196.198429</v>
      </c>
      <c r="K32" s="69">
        <f t="shared" si="7"/>
        <v>8127.703331</v>
      </c>
      <c r="L32" s="69">
        <f t="shared" si="8"/>
        <v>8059.780642</v>
      </c>
      <c r="M32" s="69">
        <f t="shared" si="9"/>
        <v>7992.425579</v>
      </c>
      <c r="N32" s="69">
        <f t="shared" si="10"/>
        <v>7925.633398</v>
      </c>
      <c r="O32" s="69">
        <f t="shared" si="11"/>
        <v>7859.399394</v>
      </c>
      <c r="P32" s="69">
        <f t="shared" si="12"/>
        <v>7793.718904</v>
      </c>
      <c r="Q32" s="69">
        <f t="shared" si="13"/>
        <v>7728.587302</v>
      </c>
      <c r="R32" s="69">
        <f t="shared" si="14"/>
        <v>7664</v>
      </c>
      <c r="S32" s="69">
        <f t="shared" si="15"/>
        <v>7599.95245</v>
      </c>
      <c r="T32" s="69">
        <f t="shared" si="16"/>
        <v>7536.440141</v>
      </c>
      <c r="U32" s="69">
        <f t="shared" si="17"/>
        <v>7473.458601</v>
      </c>
      <c r="V32" s="69">
        <f t="shared" si="18"/>
        <v>7411.003393</v>
      </c>
    </row>
    <row r="33">
      <c r="A33" s="24">
        <v>2.611606047E9</v>
      </c>
      <c r="B33" s="24" t="s">
        <v>70</v>
      </c>
      <c r="C33" s="24">
        <v>4650.0</v>
      </c>
      <c r="D33" s="24">
        <v>4221.0</v>
      </c>
      <c r="E33" s="72">
        <f t="shared" si="1"/>
        <v>0.9919661823</v>
      </c>
      <c r="F33" s="69">
        <f t="shared" si="2"/>
        <v>4650</v>
      </c>
      <c r="G33" s="69">
        <f t="shared" si="3"/>
        <v>4612.642748</v>
      </c>
      <c r="H33" s="69">
        <f t="shared" si="4"/>
        <v>4575.585616</v>
      </c>
      <c r="I33" s="69">
        <f t="shared" si="5"/>
        <v>4538.826196</v>
      </c>
      <c r="J33" s="69">
        <f t="shared" si="6"/>
        <v>4502.362093</v>
      </c>
      <c r="K33" s="69">
        <f t="shared" si="7"/>
        <v>4466.190937</v>
      </c>
      <c r="L33" s="69">
        <f t="shared" si="8"/>
        <v>4430.310373</v>
      </c>
      <c r="M33" s="69">
        <f t="shared" si="9"/>
        <v>4394.718067</v>
      </c>
      <c r="N33" s="69">
        <f t="shared" si="10"/>
        <v>4359.411703</v>
      </c>
      <c r="O33" s="69">
        <f t="shared" si="11"/>
        <v>4324.388984</v>
      </c>
      <c r="P33" s="69">
        <f t="shared" si="12"/>
        <v>4289.647631</v>
      </c>
      <c r="Q33" s="69">
        <f t="shared" si="13"/>
        <v>4255.185384</v>
      </c>
      <c r="R33" s="69">
        <f t="shared" si="14"/>
        <v>4221</v>
      </c>
      <c r="S33" s="69">
        <f t="shared" si="15"/>
        <v>4187.089255</v>
      </c>
      <c r="T33" s="69">
        <f t="shared" si="16"/>
        <v>4153.450943</v>
      </c>
      <c r="U33" s="69">
        <f t="shared" si="17"/>
        <v>4120.082876</v>
      </c>
      <c r="V33" s="69">
        <f t="shared" si="18"/>
        <v>4086.982881</v>
      </c>
    </row>
    <row r="34">
      <c r="A34" s="24">
        <v>2.611606066E9</v>
      </c>
      <c r="B34" s="24" t="s">
        <v>71</v>
      </c>
      <c r="C34" s="24">
        <v>25389.0</v>
      </c>
      <c r="D34" s="24">
        <v>23074.0</v>
      </c>
      <c r="E34" s="72">
        <f t="shared" si="1"/>
        <v>0.9920641922</v>
      </c>
      <c r="F34" s="69">
        <f t="shared" si="2"/>
        <v>25389</v>
      </c>
      <c r="G34" s="69">
        <f t="shared" si="3"/>
        <v>25187.51778</v>
      </c>
      <c r="H34" s="69">
        <f t="shared" si="4"/>
        <v>24987.63448</v>
      </c>
      <c r="I34" s="69">
        <f t="shared" si="5"/>
        <v>24789.33741</v>
      </c>
      <c r="J34" s="69">
        <f t="shared" si="6"/>
        <v>24592.61399</v>
      </c>
      <c r="K34" s="69">
        <f t="shared" si="7"/>
        <v>24397.45174</v>
      </c>
      <c r="L34" s="69">
        <f t="shared" si="8"/>
        <v>24203.83825</v>
      </c>
      <c r="M34" s="69">
        <f t="shared" si="9"/>
        <v>24011.76124</v>
      </c>
      <c r="N34" s="69">
        <f t="shared" si="10"/>
        <v>23821.20852</v>
      </c>
      <c r="O34" s="69">
        <f t="shared" si="11"/>
        <v>23632.16799</v>
      </c>
      <c r="P34" s="69">
        <f t="shared" si="12"/>
        <v>23444.62764</v>
      </c>
      <c r="Q34" s="69">
        <f t="shared" si="13"/>
        <v>23258.57559</v>
      </c>
      <c r="R34" s="69">
        <f t="shared" si="14"/>
        <v>23074</v>
      </c>
      <c r="S34" s="69">
        <f t="shared" si="15"/>
        <v>22890.88917</v>
      </c>
      <c r="T34" s="69">
        <f t="shared" si="16"/>
        <v>22709.23147</v>
      </c>
      <c r="U34" s="69">
        <f t="shared" si="17"/>
        <v>22529.01538</v>
      </c>
      <c r="V34" s="69">
        <f t="shared" si="18"/>
        <v>22350.22944</v>
      </c>
    </row>
    <row r="35">
      <c r="A35" s="24">
        <v>2.611606041E9</v>
      </c>
      <c r="B35" s="24" t="s">
        <v>72</v>
      </c>
      <c r="C35" s="24">
        <v>11675.0</v>
      </c>
      <c r="D35" s="24">
        <v>10620.0</v>
      </c>
      <c r="E35" s="72">
        <f t="shared" si="1"/>
        <v>0.9921384989</v>
      </c>
      <c r="F35" s="69">
        <f t="shared" si="2"/>
        <v>11675</v>
      </c>
      <c r="G35" s="69">
        <f t="shared" si="3"/>
        <v>11583.21697</v>
      </c>
      <c r="H35" s="69">
        <f t="shared" si="4"/>
        <v>11492.1555</v>
      </c>
      <c r="I35" s="69">
        <f t="shared" si="5"/>
        <v>11401.80991</v>
      </c>
      <c r="J35" s="69">
        <f t="shared" si="6"/>
        <v>11312.17457</v>
      </c>
      <c r="K35" s="69">
        <f t="shared" si="7"/>
        <v>11223.24389</v>
      </c>
      <c r="L35" s="69">
        <f t="shared" si="8"/>
        <v>11135.01235</v>
      </c>
      <c r="M35" s="69">
        <f t="shared" si="9"/>
        <v>11047.47444</v>
      </c>
      <c r="N35" s="69">
        <f t="shared" si="10"/>
        <v>10960.6247</v>
      </c>
      <c r="O35" s="69">
        <f t="shared" si="11"/>
        <v>10874.45774</v>
      </c>
      <c r="P35" s="69">
        <f t="shared" si="12"/>
        <v>10788.96818</v>
      </c>
      <c r="Q35" s="69">
        <f t="shared" si="13"/>
        <v>10704.15069</v>
      </c>
      <c r="R35" s="69">
        <f t="shared" si="14"/>
        <v>10620</v>
      </c>
      <c r="S35" s="69">
        <f t="shared" si="15"/>
        <v>10536.51086</v>
      </c>
      <c r="T35" s="69">
        <f t="shared" si="16"/>
        <v>10453.67807</v>
      </c>
      <c r="U35" s="69">
        <f t="shared" si="17"/>
        <v>10371.49646</v>
      </c>
      <c r="V35" s="69">
        <f t="shared" si="18"/>
        <v>10289.96093</v>
      </c>
    </row>
    <row r="36">
      <c r="A36" s="24">
        <v>2.611606094E9</v>
      </c>
      <c r="B36" s="24" t="s">
        <v>73</v>
      </c>
      <c r="C36" s="24">
        <v>18320.0</v>
      </c>
      <c r="D36" s="24">
        <v>16685.0</v>
      </c>
      <c r="E36" s="72">
        <f t="shared" si="1"/>
        <v>0.9922399949</v>
      </c>
      <c r="F36" s="69">
        <f t="shared" si="2"/>
        <v>18320</v>
      </c>
      <c r="G36" s="69">
        <f t="shared" si="3"/>
        <v>18177.83671</v>
      </c>
      <c r="H36" s="69">
        <f t="shared" si="4"/>
        <v>18036.7766</v>
      </c>
      <c r="I36" s="69">
        <f t="shared" si="5"/>
        <v>17896.81112</v>
      </c>
      <c r="J36" s="69">
        <f t="shared" si="6"/>
        <v>17757.93178</v>
      </c>
      <c r="K36" s="69">
        <f t="shared" si="7"/>
        <v>17620.13014</v>
      </c>
      <c r="L36" s="69">
        <f t="shared" si="8"/>
        <v>17483.39784</v>
      </c>
      <c r="M36" s="69">
        <f t="shared" si="9"/>
        <v>17347.72658</v>
      </c>
      <c r="N36" s="69">
        <f t="shared" si="10"/>
        <v>17213.10814</v>
      </c>
      <c r="O36" s="69">
        <f t="shared" si="11"/>
        <v>17079.53433</v>
      </c>
      <c r="P36" s="69">
        <f t="shared" si="12"/>
        <v>16946.99706</v>
      </c>
      <c r="Q36" s="69">
        <f t="shared" si="13"/>
        <v>16815.48827</v>
      </c>
      <c r="R36" s="69">
        <f t="shared" si="14"/>
        <v>16685</v>
      </c>
      <c r="S36" s="69">
        <f t="shared" si="15"/>
        <v>16555.52432</v>
      </c>
      <c r="T36" s="69">
        <f t="shared" si="16"/>
        <v>16427.05336</v>
      </c>
      <c r="U36" s="69">
        <f t="shared" si="17"/>
        <v>16299.57935</v>
      </c>
      <c r="V36" s="69">
        <f t="shared" si="18"/>
        <v>16173.09453</v>
      </c>
    </row>
    <row r="37">
      <c r="A37" s="24">
        <v>2.611606036E9</v>
      </c>
      <c r="B37" s="24" t="s">
        <v>74</v>
      </c>
      <c r="C37" s="24">
        <v>8472.0</v>
      </c>
      <c r="D37" s="24">
        <v>7728.0</v>
      </c>
      <c r="E37" s="72">
        <f t="shared" si="1"/>
        <v>0.9923695515</v>
      </c>
      <c r="F37" s="69">
        <f t="shared" si="2"/>
        <v>8472</v>
      </c>
      <c r="G37" s="69">
        <f t="shared" si="3"/>
        <v>8407.354841</v>
      </c>
      <c r="H37" s="69">
        <f t="shared" si="4"/>
        <v>8343.202953</v>
      </c>
      <c r="I37" s="69">
        <f t="shared" si="5"/>
        <v>8279.540573</v>
      </c>
      <c r="J37" s="69">
        <f t="shared" si="6"/>
        <v>8216.363965</v>
      </c>
      <c r="K37" s="69">
        <f t="shared" si="7"/>
        <v>8153.669423</v>
      </c>
      <c r="L37" s="69">
        <f t="shared" si="8"/>
        <v>8091.453269</v>
      </c>
      <c r="M37" s="69">
        <f t="shared" si="9"/>
        <v>8029.711852</v>
      </c>
      <c r="N37" s="69">
        <f t="shared" si="10"/>
        <v>7968.441549</v>
      </c>
      <c r="O37" s="69">
        <f t="shared" si="11"/>
        <v>7907.638766</v>
      </c>
      <c r="P37" s="69">
        <f t="shared" si="12"/>
        <v>7847.299936</v>
      </c>
      <c r="Q37" s="69">
        <f t="shared" si="13"/>
        <v>7787.421519</v>
      </c>
      <c r="R37" s="69">
        <f t="shared" si="14"/>
        <v>7728</v>
      </c>
      <c r="S37" s="69">
        <f t="shared" si="15"/>
        <v>7669.031894</v>
      </c>
      <c r="T37" s="69">
        <f t="shared" si="16"/>
        <v>7610.513742</v>
      </c>
      <c r="U37" s="69">
        <f t="shared" si="17"/>
        <v>7552.442109</v>
      </c>
      <c r="V37" s="69">
        <f t="shared" si="18"/>
        <v>7494.813588</v>
      </c>
    </row>
    <row r="38">
      <c r="A38" s="24">
        <v>2.611606054E9</v>
      </c>
      <c r="B38" s="24" t="s">
        <v>75</v>
      </c>
      <c r="C38" s="24">
        <v>7615.0</v>
      </c>
      <c r="D38" s="24">
        <v>6954.0</v>
      </c>
      <c r="E38" s="72">
        <f t="shared" si="1"/>
        <v>0.9924616443</v>
      </c>
      <c r="F38" s="69">
        <f t="shared" si="2"/>
        <v>7615</v>
      </c>
      <c r="G38" s="69">
        <f t="shared" si="3"/>
        <v>7557.595421</v>
      </c>
      <c r="H38" s="69">
        <f t="shared" si="4"/>
        <v>7500.623579</v>
      </c>
      <c r="I38" s="69">
        <f t="shared" si="5"/>
        <v>7444.08121</v>
      </c>
      <c r="J38" s="69">
        <f t="shared" si="6"/>
        <v>7387.965078</v>
      </c>
      <c r="K38" s="69">
        <f t="shared" si="7"/>
        <v>7332.271969</v>
      </c>
      <c r="L38" s="69">
        <f t="shared" si="8"/>
        <v>7276.998695</v>
      </c>
      <c r="M38" s="69">
        <f t="shared" si="9"/>
        <v>7222.14209</v>
      </c>
      <c r="N38" s="69">
        <f t="shared" si="10"/>
        <v>7167.699014</v>
      </c>
      <c r="O38" s="69">
        <f t="shared" si="11"/>
        <v>7113.666349</v>
      </c>
      <c r="P38" s="69">
        <f t="shared" si="12"/>
        <v>7060.041001</v>
      </c>
      <c r="Q38" s="69">
        <f t="shared" si="13"/>
        <v>7006.819901</v>
      </c>
      <c r="R38" s="69">
        <f t="shared" si="14"/>
        <v>6954</v>
      </c>
      <c r="S38" s="69">
        <f t="shared" si="15"/>
        <v>6901.578274</v>
      </c>
      <c r="T38" s="69">
        <f t="shared" si="16"/>
        <v>6849.551722</v>
      </c>
      <c r="U38" s="69">
        <f t="shared" si="17"/>
        <v>6797.917365</v>
      </c>
      <c r="V38" s="69">
        <f t="shared" si="18"/>
        <v>6746.672246</v>
      </c>
    </row>
    <row r="39">
      <c r="A39" s="24">
        <v>2.611606012E9</v>
      </c>
      <c r="B39" s="24" t="s">
        <v>76</v>
      </c>
      <c r="C39" s="24">
        <v>2037.0</v>
      </c>
      <c r="D39" s="63">
        <v>1867.0</v>
      </c>
      <c r="E39" s="72">
        <f t="shared" si="1"/>
        <v>0.9927641993</v>
      </c>
      <c r="F39" s="69">
        <f t="shared" si="2"/>
        <v>2037</v>
      </c>
      <c r="G39" s="69">
        <f t="shared" si="3"/>
        <v>2022.260674</v>
      </c>
      <c r="H39" s="69">
        <f t="shared" si="4"/>
        <v>2007.627999</v>
      </c>
      <c r="I39" s="69">
        <f t="shared" si="5"/>
        <v>1993.101203</v>
      </c>
      <c r="J39" s="69">
        <f t="shared" si="6"/>
        <v>1978.67952</v>
      </c>
      <c r="K39" s="69">
        <f t="shared" si="7"/>
        <v>1964.362189</v>
      </c>
      <c r="L39" s="69">
        <f t="shared" si="8"/>
        <v>1950.148456</v>
      </c>
      <c r="M39" s="69">
        <f t="shared" si="9"/>
        <v>1936.03757</v>
      </c>
      <c r="N39" s="69">
        <f t="shared" si="10"/>
        <v>1922.028788</v>
      </c>
      <c r="O39" s="69">
        <f t="shared" si="11"/>
        <v>1908.121371</v>
      </c>
      <c r="P39" s="69">
        <f t="shared" si="12"/>
        <v>1894.314585</v>
      </c>
      <c r="Q39" s="69">
        <f t="shared" si="13"/>
        <v>1880.607702</v>
      </c>
      <c r="R39" s="69">
        <f t="shared" si="14"/>
        <v>1867</v>
      </c>
      <c r="S39" s="69">
        <f t="shared" si="15"/>
        <v>1853.49076</v>
      </c>
      <c r="T39" s="69">
        <f t="shared" si="16"/>
        <v>1840.07927</v>
      </c>
      <c r="U39" s="69">
        <f t="shared" si="17"/>
        <v>1826.764824</v>
      </c>
      <c r="V39" s="69">
        <f t="shared" si="18"/>
        <v>1813.546717</v>
      </c>
    </row>
    <row r="40">
      <c r="A40" s="24">
        <v>2.611606052E9</v>
      </c>
      <c r="B40" s="24" t="s">
        <v>77</v>
      </c>
      <c r="C40" s="24">
        <v>12295.0</v>
      </c>
      <c r="D40" s="24">
        <v>11313.0</v>
      </c>
      <c r="E40" s="72">
        <f t="shared" si="1"/>
        <v>0.9930873225</v>
      </c>
      <c r="F40" s="69">
        <f t="shared" si="2"/>
        <v>12295</v>
      </c>
      <c r="G40" s="69">
        <f t="shared" si="3"/>
        <v>12210.00863</v>
      </c>
      <c r="H40" s="69">
        <f t="shared" si="4"/>
        <v>12125.60478</v>
      </c>
      <c r="I40" s="69">
        <f t="shared" si="5"/>
        <v>12041.78438</v>
      </c>
      <c r="J40" s="69">
        <f t="shared" si="6"/>
        <v>11958.54341</v>
      </c>
      <c r="K40" s="69">
        <f t="shared" si="7"/>
        <v>11875.87786</v>
      </c>
      <c r="L40" s="69">
        <f t="shared" si="8"/>
        <v>11793.78374</v>
      </c>
      <c r="M40" s="69">
        <f t="shared" si="9"/>
        <v>11712.25712</v>
      </c>
      <c r="N40" s="69">
        <f t="shared" si="10"/>
        <v>11631.29406</v>
      </c>
      <c r="O40" s="69">
        <f t="shared" si="11"/>
        <v>11550.89068</v>
      </c>
      <c r="P40" s="69">
        <f t="shared" si="12"/>
        <v>11471.0431</v>
      </c>
      <c r="Q40" s="69">
        <f t="shared" si="13"/>
        <v>11391.74748</v>
      </c>
      <c r="R40" s="69">
        <f t="shared" si="14"/>
        <v>11313</v>
      </c>
      <c r="S40" s="69">
        <f t="shared" si="15"/>
        <v>11234.79688</v>
      </c>
      <c r="T40" s="69">
        <f t="shared" si="16"/>
        <v>11157.13435</v>
      </c>
      <c r="U40" s="69">
        <f t="shared" si="17"/>
        <v>11080.00868</v>
      </c>
      <c r="V40" s="69">
        <f t="shared" si="18"/>
        <v>11003.41615</v>
      </c>
    </row>
    <row r="41">
      <c r="A41" s="24">
        <v>2.611606053E9</v>
      </c>
      <c r="B41" s="24" t="s">
        <v>78</v>
      </c>
      <c r="C41" s="24">
        <v>6947.0</v>
      </c>
      <c r="D41" s="24">
        <v>6397.0</v>
      </c>
      <c r="E41" s="72">
        <f t="shared" si="1"/>
        <v>0.9931501693</v>
      </c>
      <c r="F41" s="69">
        <f t="shared" si="2"/>
        <v>6947</v>
      </c>
      <c r="G41" s="69">
        <f t="shared" si="3"/>
        <v>6899.414226</v>
      </c>
      <c r="H41" s="69">
        <f t="shared" si="4"/>
        <v>6852.154407</v>
      </c>
      <c r="I41" s="69">
        <f t="shared" si="5"/>
        <v>6805.21831</v>
      </c>
      <c r="J41" s="69">
        <f t="shared" si="6"/>
        <v>6758.603717</v>
      </c>
      <c r="K41" s="69">
        <f t="shared" si="7"/>
        <v>6712.308426</v>
      </c>
      <c r="L41" s="69">
        <f t="shared" si="8"/>
        <v>6666.33025</v>
      </c>
      <c r="M41" s="69">
        <f t="shared" si="9"/>
        <v>6620.667016</v>
      </c>
      <c r="N41" s="69">
        <f t="shared" si="10"/>
        <v>6575.316569</v>
      </c>
      <c r="O41" s="69">
        <f t="shared" si="11"/>
        <v>6530.276764</v>
      </c>
      <c r="P41" s="69">
        <f t="shared" si="12"/>
        <v>6485.545474</v>
      </c>
      <c r="Q41" s="69">
        <f t="shared" si="13"/>
        <v>6441.120585</v>
      </c>
      <c r="R41" s="69">
        <f t="shared" si="14"/>
        <v>6397</v>
      </c>
      <c r="S41" s="69">
        <f t="shared" si="15"/>
        <v>6353.181633</v>
      </c>
      <c r="T41" s="69">
        <f t="shared" si="16"/>
        <v>6309.663415</v>
      </c>
      <c r="U41" s="69">
        <f t="shared" si="17"/>
        <v>6266.443289</v>
      </c>
      <c r="V41" s="69">
        <f t="shared" si="18"/>
        <v>6223.519214</v>
      </c>
    </row>
    <row r="42">
      <c r="A42" s="24">
        <v>2.61160606E9</v>
      </c>
      <c r="B42" s="24" t="s">
        <v>79</v>
      </c>
      <c r="C42" s="24">
        <v>40870.0</v>
      </c>
      <c r="D42" s="63">
        <v>37660.0</v>
      </c>
      <c r="E42" s="72">
        <f t="shared" si="1"/>
        <v>0.9932066983</v>
      </c>
      <c r="F42" s="69">
        <f t="shared" si="2"/>
        <v>40870</v>
      </c>
      <c r="G42" s="69">
        <f t="shared" si="3"/>
        <v>40592.35776</v>
      </c>
      <c r="H42" s="69">
        <f t="shared" si="4"/>
        <v>40316.60163</v>
      </c>
      <c r="I42" s="69">
        <f t="shared" si="5"/>
        <v>40042.71879</v>
      </c>
      <c r="J42" s="69">
        <f t="shared" si="6"/>
        <v>39770.69652</v>
      </c>
      <c r="K42" s="69">
        <f t="shared" si="7"/>
        <v>39500.52218</v>
      </c>
      <c r="L42" s="69">
        <f t="shared" si="8"/>
        <v>39232.18322</v>
      </c>
      <c r="M42" s="69">
        <f t="shared" si="9"/>
        <v>38965.66716</v>
      </c>
      <c r="N42" s="69">
        <f t="shared" si="10"/>
        <v>38700.96163</v>
      </c>
      <c r="O42" s="69">
        <f t="shared" si="11"/>
        <v>38438.05432</v>
      </c>
      <c r="P42" s="69">
        <f t="shared" si="12"/>
        <v>38176.93302</v>
      </c>
      <c r="Q42" s="69">
        <f t="shared" si="13"/>
        <v>37917.5856</v>
      </c>
      <c r="R42" s="69">
        <f t="shared" si="14"/>
        <v>37660</v>
      </c>
      <c r="S42" s="69">
        <f t="shared" si="15"/>
        <v>37404.16426</v>
      </c>
      <c r="T42" s="69">
        <f t="shared" si="16"/>
        <v>37150.06649</v>
      </c>
      <c r="U42" s="69">
        <f t="shared" si="17"/>
        <v>36897.69488</v>
      </c>
      <c r="V42" s="69">
        <f t="shared" si="18"/>
        <v>36647.0377</v>
      </c>
    </row>
    <row r="43">
      <c r="A43" s="24">
        <v>2.61160602E9</v>
      </c>
      <c r="B43" s="24" t="s">
        <v>80</v>
      </c>
      <c r="C43" s="24">
        <v>9484.0</v>
      </c>
      <c r="D43" s="24">
        <v>8757.0</v>
      </c>
      <c r="E43" s="72">
        <f t="shared" si="1"/>
        <v>0.9933759706</v>
      </c>
      <c r="F43" s="69">
        <f t="shared" si="2"/>
        <v>9484</v>
      </c>
      <c r="G43" s="69">
        <f t="shared" si="3"/>
        <v>9421.177705</v>
      </c>
      <c r="H43" s="69">
        <f t="shared" si="4"/>
        <v>9358.771547</v>
      </c>
      <c r="I43" s="69">
        <f t="shared" si="5"/>
        <v>9296.778769</v>
      </c>
      <c r="J43" s="69">
        <f t="shared" si="6"/>
        <v>9235.196634</v>
      </c>
      <c r="K43" s="69">
        <f t="shared" si="7"/>
        <v>9174.02242</v>
      </c>
      <c r="L43" s="69">
        <f t="shared" si="8"/>
        <v>9113.253426</v>
      </c>
      <c r="M43" s="69">
        <f t="shared" si="9"/>
        <v>9052.886967</v>
      </c>
      <c r="N43" s="69">
        <f t="shared" si="10"/>
        <v>8992.920378</v>
      </c>
      <c r="O43" s="69">
        <f t="shared" si="11"/>
        <v>8933.351009</v>
      </c>
      <c r="P43" s="69">
        <f t="shared" si="12"/>
        <v>8874.176229</v>
      </c>
      <c r="Q43" s="69">
        <f t="shared" si="13"/>
        <v>8815.393425</v>
      </c>
      <c r="R43" s="69">
        <f t="shared" si="14"/>
        <v>8757</v>
      </c>
      <c r="S43" s="69">
        <f t="shared" si="15"/>
        <v>8698.993375</v>
      </c>
      <c r="T43" s="69">
        <f t="shared" si="16"/>
        <v>8641.370987</v>
      </c>
      <c r="U43" s="69">
        <f t="shared" si="17"/>
        <v>8584.130291</v>
      </c>
      <c r="V43" s="69">
        <f t="shared" si="18"/>
        <v>8527.26876</v>
      </c>
    </row>
    <row r="44">
      <c r="A44" s="24">
        <v>2.611606087E9</v>
      </c>
      <c r="B44" s="24" t="s">
        <v>81</v>
      </c>
      <c r="C44" s="24">
        <v>67260.0</v>
      </c>
      <c r="D44" s="24">
        <v>62632.0</v>
      </c>
      <c r="E44" s="72">
        <f t="shared" si="1"/>
        <v>0.9940768302</v>
      </c>
      <c r="F44" s="69">
        <f t="shared" si="2"/>
        <v>67260</v>
      </c>
      <c r="G44" s="69">
        <f t="shared" si="3"/>
        <v>66861.6076</v>
      </c>
      <c r="H44" s="69">
        <f t="shared" si="4"/>
        <v>66465.57494</v>
      </c>
      <c r="I44" s="69">
        <f t="shared" si="5"/>
        <v>66071.88805</v>
      </c>
      <c r="J44" s="69">
        <f t="shared" si="6"/>
        <v>65680.53303</v>
      </c>
      <c r="K44" s="69">
        <f t="shared" si="7"/>
        <v>65291.49608</v>
      </c>
      <c r="L44" s="69">
        <f t="shared" si="8"/>
        <v>64904.76346</v>
      </c>
      <c r="M44" s="69">
        <f t="shared" si="9"/>
        <v>64520.32152</v>
      </c>
      <c r="N44" s="69">
        <f t="shared" si="10"/>
        <v>64138.1567</v>
      </c>
      <c r="O44" s="69">
        <f t="shared" si="11"/>
        <v>63758.25551</v>
      </c>
      <c r="P44" s="69">
        <f t="shared" si="12"/>
        <v>63380.60453</v>
      </c>
      <c r="Q44" s="69">
        <f t="shared" si="13"/>
        <v>63005.19044</v>
      </c>
      <c r="R44" s="69">
        <f t="shared" si="14"/>
        <v>62632</v>
      </c>
      <c r="S44" s="69">
        <f t="shared" si="15"/>
        <v>62261.02003</v>
      </c>
      <c r="T44" s="69">
        <f t="shared" si="16"/>
        <v>61892.23743</v>
      </c>
      <c r="U44" s="69">
        <f t="shared" si="17"/>
        <v>61525.6392</v>
      </c>
      <c r="V44" s="69">
        <f t="shared" si="18"/>
        <v>61161.21239</v>
      </c>
    </row>
    <row r="45">
      <c r="A45" s="24">
        <v>2.611606046E9</v>
      </c>
      <c r="B45" s="24" t="s">
        <v>82</v>
      </c>
      <c r="C45" s="24">
        <v>8286.0</v>
      </c>
      <c r="D45" s="24">
        <v>7738.0</v>
      </c>
      <c r="E45" s="72">
        <f t="shared" si="1"/>
        <v>0.9943142183</v>
      </c>
      <c r="F45" s="69">
        <f t="shared" si="2"/>
        <v>8286</v>
      </c>
      <c r="G45" s="69">
        <f t="shared" si="3"/>
        <v>8238.887613</v>
      </c>
      <c r="H45" s="69">
        <f t="shared" si="4"/>
        <v>8192.043097</v>
      </c>
      <c r="I45" s="69">
        <f t="shared" si="5"/>
        <v>8145.464928</v>
      </c>
      <c r="J45" s="69">
        <f t="shared" si="6"/>
        <v>8099.151593</v>
      </c>
      <c r="K45" s="69">
        <f t="shared" si="7"/>
        <v>8053.101585</v>
      </c>
      <c r="L45" s="69">
        <f t="shared" si="8"/>
        <v>8007.313407</v>
      </c>
      <c r="M45" s="69">
        <f t="shared" si="9"/>
        <v>7961.785571</v>
      </c>
      <c r="N45" s="69">
        <f t="shared" si="10"/>
        <v>7916.516597</v>
      </c>
      <c r="O45" s="69">
        <f t="shared" si="11"/>
        <v>7871.505011</v>
      </c>
      <c r="P45" s="69">
        <f t="shared" si="12"/>
        <v>7826.749352</v>
      </c>
      <c r="Q45" s="69">
        <f t="shared" si="13"/>
        <v>7782.248164</v>
      </c>
      <c r="R45" s="69">
        <f t="shared" si="14"/>
        <v>7738</v>
      </c>
      <c r="S45" s="69">
        <f t="shared" si="15"/>
        <v>7694.003421</v>
      </c>
      <c r="T45" s="69">
        <f t="shared" si="16"/>
        <v>7650.256997</v>
      </c>
      <c r="U45" s="69">
        <f t="shared" si="17"/>
        <v>7606.759306</v>
      </c>
      <c r="V45" s="69">
        <f t="shared" si="18"/>
        <v>7563.508934</v>
      </c>
    </row>
    <row r="46">
      <c r="A46" s="24">
        <v>2.611606055E9</v>
      </c>
      <c r="B46" s="24" t="s">
        <v>83</v>
      </c>
      <c r="C46" s="24">
        <v>6722.0</v>
      </c>
      <c r="D46" s="24">
        <v>6307.0</v>
      </c>
      <c r="E46" s="72">
        <f t="shared" si="1"/>
        <v>0.9947036088</v>
      </c>
      <c r="F46" s="69">
        <f t="shared" si="2"/>
        <v>6722</v>
      </c>
      <c r="G46" s="69">
        <f t="shared" si="3"/>
        <v>6686.397658</v>
      </c>
      <c r="H46" s="69">
        <f t="shared" si="4"/>
        <v>6650.983881</v>
      </c>
      <c r="I46" s="69">
        <f t="shared" si="5"/>
        <v>6615.757668</v>
      </c>
      <c r="J46" s="69">
        <f t="shared" si="6"/>
        <v>6580.718027</v>
      </c>
      <c r="K46" s="69">
        <f t="shared" si="7"/>
        <v>6545.86397</v>
      </c>
      <c r="L46" s="69">
        <f t="shared" si="8"/>
        <v>6511.194514</v>
      </c>
      <c r="M46" s="69">
        <f t="shared" si="9"/>
        <v>6476.708681</v>
      </c>
      <c r="N46" s="69">
        <f t="shared" si="10"/>
        <v>6442.405498</v>
      </c>
      <c r="O46" s="69">
        <f t="shared" si="11"/>
        <v>6408.283998</v>
      </c>
      <c r="P46" s="69">
        <f t="shared" si="12"/>
        <v>6374.343219</v>
      </c>
      <c r="Q46" s="69">
        <f t="shared" si="13"/>
        <v>6340.582204</v>
      </c>
      <c r="R46" s="69">
        <f t="shared" si="14"/>
        <v>6307</v>
      </c>
      <c r="S46" s="69">
        <f t="shared" si="15"/>
        <v>6273.595661</v>
      </c>
      <c r="T46" s="69">
        <f t="shared" si="16"/>
        <v>6240.368244</v>
      </c>
      <c r="U46" s="69">
        <f t="shared" si="17"/>
        <v>6207.316812</v>
      </c>
      <c r="V46" s="69">
        <f t="shared" si="18"/>
        <v>6174.440434</v>
      </c>
    </row>
    <row r="47">
      <c r="A47" s="24">
        <v>2.611606085E9</v>
      </c>
      <c r="B47" s="24" t="s">
        <v>84</v>
      </c>
      <c r="C47" s="24">
        <v>31598.0</v>
      </c>
      <c r="D47" s="24">
        <v>29996.0</v>
      </c>
      <c r="E47" s="72">
        <f t="shared" si="1"/>
        <v>0.9956735704</v>
      </c>
      <c r="F47" s="69">
        <f t="shared" si="2"/>
        <v>31598</v>
      </c>
      <c r="G47" s="69">
        <f t="shared" si="3"/>
        <v>31461.29348</v>
      </c>
      <c r="H47" s="69">
        <f t="shared" si="4"/>
        <v>31325.17841</v>
      </c>
      <c r="I47" s="69">
        <f t="shared" si="5"/>
        <v>31189.65223</v>
      </c>
      <c r="J47" s="69">
        <f t="shared" si="6"/>
        <v>31054.71239</v>
      </c>
      <c r="K47" s="69">
        <f t="shared" si="7"/>
        <v>30920.35637</v>
      </c>
      <c r="L47" s="69">
        <f t="shared" si="8"/>
        <v>30786.58162</v>
      </c>
      <c r="M47" s="69">
        <f t="shared" si="9"/>
        <v>30653.38564</v>
      </c>
      <c r="N47" s="69">
        <f t="shared" si="10"/>
        <v>30520.76593</v>
      </c>
      <c r="O47" s="69">
        <f t="shared" si="11"/>
        <v>30388.71999</v>
      </c>
      <c r="P47" s="69">
        <f t="shared" si="12"/>
        <v>30257.24533</v>
      </c>
      <c r="Q47" s="69">
        <f t="shared" si="13"/>
        <v>30126.33949</v>
      </c>
      <c r="R47" s="69">
        <f t="shared" si="14"/>
        <v>29996</v>
      </c>
      <c r="S47" s="69">
        <f t="shared" si="15"/>
        <v>29866.22442</v>
      </c>
      <c r="T47" s="69">
        <f t="shared" si="16"/>
        <v>29737.0103</v>
      </c>
      <c r="U47" s="69">
        <f t="shared" si="17"/>
        <v>29608.35522</v>
      </c>
      <c r="V47" s="69">
        <f t="shared" si="18"/>
        <v>29480.25676</v>
      </c>
    </row>
    <row r="48">
      <c r="A48" s="24">
        <v>2.611606018E9</v>
      </c>
      <c r="B48" s="24" t="s">
        <v>85</v>
      </c>
      <c r="C48" s="24">
        <v>13861.0</v>
      </c>
      <c r="D48" s="24">
        <v>13236.0</v>
      </c>
      <c r="E48" s="72">
        <f t="shared" si="1"/>
        <v>0.9961624862</v>
      </c>
      <c r="F48" s="69">
        <f t="shared" si="2"/>
        <v>13861</v>
      </c>
      <c r="G48" s="69">
        <f t="shared" si="3"/>
        <v>13807.80822</v>
      </c>
      <c r="H48" s="69">
        <f t="shared" si="4"/>
        <v>13754.82057</v>
      </c>
      <c r="I48" s="69">
        <f t="shared" si="5"/>
        <v>13702.03625</v>
      </c>
      <c r="J48" s="69">
        <f t="shared" si="6"/>
        <v>13649.4545</v>
      </c>
      <c r="K48" s="69">
        <f t="shared" si="7"/>
        <v>13597.07453</v>
      </c>
      <c r="L48" s="69">
        <f t="shared" si="8"/>
        <v>13544.89557</v>
      </c>
      <c r="M48" s="69">
        <f t="shared" si="9"/>
        <v>13492.91685</v>
      </c>
      <c r="N48" s="69">
        <f t="shared" si="10"/>
        <v>13441.13759</v>
      </c>
      <c r="O48" s="69">
        <f t="shared" si="11"/>
        <v>13389.55704</v>
      </c>
      <c r="P48" s="69">
        <f t="shared" si="12"/>
        <v>13338.17443</v>
      </c>
      <c r="Q48" s="69">
        <f t="shared" si="13"/>
        <v>13286.989</v>
      </c>
      <c r="R48" s="69">
        <f t="shared" si="14"/>
        <v>13236</v>
      </c>
      <c r="S48" s="69">
        <f t="shared" si="15"/>
        <v>13185.20667</v>
      </c>
      <c r="T48" s="69">
        <f t="shared" si="16"/>
        <v>13134.60826</v>
      </c>
      <c r="U48" s="69">
        <f t="shared" si="17"/>
        <v>13084.20402</v>
      </c>
      <c r="V48" s="69">
        <f t="shared" si="18"/>
        <v>13033.9932</v>
      </c>
    </row>
    <row r="49">
      <c r="A49" s="24">
        <v>2.611606029E9</v>
      </c>
      <c r="B49" s="24" t="s">
        <v>86</v>
      </c>
      <c r="C49" s="24">
        <v>14867.0</v>
      </c>
      <c r="D49" s="24">
        <v>14202.0</v>
      </c>
      <c r="E49" s="72">
        <f t="shared" si="1"/>
        <v>0.9961938292</v>
      </c>
      <c r="F49" s="69">
        <f t="shared" si="2"/>
        <v>14867</v>
      </c>
      <c r="G49" s="69">
        <f t="shared" si="3"/>
        <v>14810.41366</v>
      </c>
      <c r="H49" s="69">
        <f t="shared" si="4"/>
        <v>14754.0427</v>
      </c>
      <c r="I49" s="69">
        <f t="shared" si="5"/>
        <v>14697.88629</v>
      </c>
      <c r="J49" s="69">
        <f t="shared" si="6"/>
        <v>14641.94363</v>
      </c>
      <c r="K49" s="69">
        <f t="shared" si="7"/>
        <v>14586.21389</v>
      </c>
      <c r="L49" s="69">
        <f t="shared" si="8"/>
        <v>14530.69627</v>
      </c>
      <c r="M49" s="69">
        <f t="shared" si="9"/>
        <v>14475.38996</v>
      </c>
      <c r="N49" s="69">
        <f t="shared" si="10"/>
        <v>14420.29415</v>
      </c>
      <c r="O49" s="69">
        <f t="shared" si="11"/>
        <v>14365.40805</v>
      </c>
      <c r="P49" s="69">
        <f t="shared" si="12"/>
        <v>14310.73085</v>
      </c>
      <c r="Q49" s="69">
        <f t="shared" si="13"/>
        <v>14256.26177</v>
      </c>
      <c r="R49" s="69">
        <f t="shared" si="14"/>
        <v>14202</v>
      </c>
      <c r="S49" s="69">
        <f t="shared" si="15"/>
        <v>14147.94476</v>
      </c>
      <c r="T49" s="69">
        <f t="shared" si="16"/>
        <v>14094.09527</v>
      </c>
      <c r="U49" s="69">
        <f t="shared" si="17"/>
        <v>14040.45074</v>
      </c>
      <c r="V49" s="69">
        <f t="shared" si="18"/>
        <v>13987.01038</v>
      </c>
    </row>
    <row r="50">
      <c r="A50" s="24">
        <v>2.611606028E9</v>
      </c>
      <c r="B50" s="24" t="s">
        <v>87</v>
      </c>
      <c r="C50" s="24">
        <v>32869.0</v>
      </c>
      <c r="D50" s="24">
        <v>31437.0</v>
      </c>
      <c r="E50" s="72">
        <f t="shared" si="1"/>
        <v>0.996294846</v>
      </c>
      <c r="F50" s="69">
        <f t="shared" si="2"/>
        <v>32869</v>
      </c>
      <c r="G50" s="69">
        <f t="shared" si="3"/>
        <v>32747.21529</v>
      </c>
      <c r="H50" s="69">
        <f t="shared" si="4"/>
        <v>32625.88182</v>
      </c>
      <c r="I50" s="69">
        <f t="shared" si="5"/>
        <v>32504.9979</v>
      </c>
      <c r="J50" s="69">
        <f t="shared" si="6"/>
        <v>32384.56188</v>
      </c>
      <c r="K50" s="69">
        <f t="shared" si="7"/>
        <v>32264.57209</v>
      </c>
      <c r="L50" s="69">
        <f t="shared" si="8"/>
        <v>32145.02688</v>
      </c>
      <c r="M50" s="69">
        <f t="shared" si="9"/>
        <v>32025.9246</v>
      </c>
      <c r="N50" s="69">
        <f t="shared" si="10"/>
        <v>31907.26362</v>
      </c>
      <c r="O50" s="69">
        <f t="shared" si="11"/>
        <v>31789.04229</v>
      </c>
      <c r="P50" s="69">
        <f t="shared" si="12"/>
        <v>31671.259</v>
      </c>
      <c r="Q50" s="69">
        <f t="shared" si="13"/>
        <v>31553.9121</v>
      </c>
      <c r="R50" s="69">
        <f t="shared" si="14"/>
        <v>31437</v>
      </c>
      <c r="S50" s="69">
        <f t="shared" si="15"/>
        <v>31320.52107</v>
      </c>
      <c r="T50" s="69">
        <f t="shared" si="16"/>
        <v>31204.47372</v>
      </c>
      <c r="U50" s="69">
        <f t="shared" si="17"/>
        <v>31088.85634</v>
      </c>
      <c r="V50" s="69">
        <f t="shared" si="18"/>
        <v>30973.66734</v>
      </c>
    </row>
    <row r="51">
      <c r="A51" s="24">
        <v>2.611606034E9</v>
      </c>
      <c r="B51" s="24" t="s">
        <v>88</v>
      </c>
      <c r="C51" s="24">
        <v>8120.0</v>
      </c>
      <c r="D51" s="24">
        <v>7793.0</v>
      </c>
      <c r="E51" s="72">
        <f t="shared" si="1"/>
        <v>0.9965805049</v>
      </c>
      <c r="F51" s="69">
        <f t="shared" si="2"/>
        <v>8120</v>
      </c>
      <c r="G51" s="69">
        <f t="shared" si="3"/>
        <v>8092.2337</v>
      </c>
      <c r="H51" s="69">
        <f t="shared" si="4"/>
        <v>8064.562346</v>
      </c>
      <c r="I51" s="69">
        <f t="shared" si="5"/>
        <v>8036.985615</v>
      </c>
      <c r="J51" s="69">
        <f t="shared" si="6"/>
        <v>8009.503182</v>
      </c>
      <c r="K51" s="69">
        <f t="shared" si="7"/>
        <v>7982.114725</v>
      </c>
      <c r="L51" s="69">
        <f t="shared" si="8"/>
        <v>7954.819923</v>
      </c>
      <c r="M51" s="69">
        <f t="shared" si="9"/>
        <v>7927.618455</v>
      </c>
      <c r="N51" s="69">
        <f t="shared" si="10"/>
        <v>7900.510002</v>
      </c>
      <c r="O51" s="69">
        <f t="shared" si="11"/>
        <v>7873.494247</v>
      </c>
      <c r="P51" s="69">
        <f t="shared" si="12"/>
        <v>7846.570872</v>
      </c>
      <c r="Q51" s="69">
        <f t="shared" si="13"/>
        <v>7819.739561</v>
      </c>
      <c r="R51" s="69">
        <f t="shared" si="14"/>
        <v>7793</v>
      </c>
      <c r="S51" s="69">
        <f t="shared" si="15"/>
        <v>7766.351875</v>
      </c>
      <c r="T51" s="69">
        <f t="shared" si="16"/>
        <v>7739.794872</v>
      </c>
      <c r="U51" s="69">
        <f t="shared" si="17"/>
        <v>7713.328682</v>
      </c>
      <c r="V51" s="69">
        <f t="shared" si="18"/>
        <v>7686.952992</v>
      </c>
    </row>
    <row r="52">
      <c r="A52" s="24">
        <v>2.611606086E9</v>
      </c>
      <c r="B52" s="24" t="s">
        <v>89</v>
      </c>
      <c r="C52" s="24">
        <v>31773.0</v>
      </c>
      <c r="D52" s="24">
        <v>30565.0</v>
      </c>
      <c r="E52" s="72">
        <f t="shared" si="1"/>
        <v>0.9967751021</v>
      </c>
      <c r="F52" s="69">
        <f t="shared" si="2"/>
        <v>31773</v>
      </c>
      <c r="G52" s="69">
        <f t="shared" si="3"/>
        <v>31670.53532</v>
      </c>
      <c r="H52" s="69">
        <f t="shared" si="4"/>
        <v>31568.40108</v>
      </c>
      <c r="I52" s="69">
        <f t="shared" si="5"/>
        <v>31466.59621</v>
      </c>
      <c r="J52" s="69">
        <f t="shared" si="6"/>
        <v>31365.11965</v>
      </c>
      <c r="K52" s="69">
        <f t="shared" si="7"/>
        <v>31263.97034</v>
      </c>
      <c r="L52" s="69">
        <f t="shared" si="8"/>
        <v>31163.14723</v>
      </c>
      <c r="M52" s="69">
        <f t="shared" si="9"/>
        <v>31062.64926</v>
      </c>
      <c r="N52" s="69">
        <f t="shared" si="10"/>
        <v>30962.47539</v>
      </c>
      <c r="O52" s="69">
        <f t="shared" si="11"/>
        <v>30862.62456</v>
      </c>
      <c r="P52" s="69">
        <f t="shared" si="12"/>
        <v>30763.09575</v>
      </c>
      <c r="Q52" s="69">
        <f t="shared" si="13"/>
        <v>30663.88791</v>
      </c>
      <c r="R52" s="69">
        <f t="shared" si="14"/>
        <v>30565</v>
      </c>
      <c r="S52" s="69">
        <f t="shared" si="15"/>
        <v>30466.431</v>
      </c>
      <c r="T52" s="69">
        <f t="shared" si="16"/>
        <v>30368.17987</v>
      </c>
      <c r="U52" s="69">
        <f t="shared" si="17"/>
        <v>30270.24559</v>
      </c>
      <c r="V52" s="69">
        <f t="shared" si="18"/>
        <v>30172.62714</v>
      </c>
    </row>
    <row r="53">
      <c r="A53" s="24">
        <v>2.611606013E9</v>
      </c>
      <c r="B53" s="24" t="s">
        <v>90</v>
      </c>
      <c r="C53" s="24">
        <v>20462.0</v>
      </c>
      <c r="D53" s="24">
        <v>19694.0</v>
      </c>
      <c r="E53" s="72">
        <f t="shared" si="1"/>
        <v>0.9968171189</v>
      </c>
      <c r="F53" s="69">
        <f t="shared" si="2"/>
        <v>20462</v>
      </c>
      <c r="G53" s="69">
        <f t="shared" si="3"/>
        <v>20396.87189</v>
      </c>
      <c r="H53" s="69">
        <f t="shared" si="4"/>
        <v>20331.95107</v>
      </c>
      <c r="I53" s="69">
        <f t="shared" si="5"/>
        <v>20267.23689</v>
      </c>
      <c r="J53" s="69">
        <f t="shared" si="6"/>
        <v>20202.72868</v>
      </c>
      <c r="K53" s="69">
        <f t="shared" si="7"/>
        <v>20138.4258</v>
      </c>
      <c r="L53" s="69">
        <f t="shared" si="8"/>
        <v>20074.32759</v>
      </c>
      <c r="M53" s="69">
        <f t="shared" si="9"/>
        <v>20010.43339</v>
      </c>
      <c r="N53" s="69">
        <f t="shared" si="10"/>
        <v>19946.74256</v>
      </c>
      <c r="O53" s="69">
        <f t="shared" si="11"/>
        <v>19883.25445</v>
      </c>
      <c r="P53" s="69">
        <f t="shared" si="12"/>
        <v>19819.96841</v>
      </c>
      <c r="Q53" s="69">
        <f t="shared" si="13"/>
        <v>19756.88381</v>
      </c>
      <c r="R53" s="69">
        <f t="shared" si="14"/>
        <v>19694</v>
      </c>
      <c r="S53" s="69">
        <f t="shared" si="15"/>
        <v>19631.31634</v>
      </c>
      <c r="T53" s="69">
        <f t="shared" si="16"/>
        <v>19568.83219</v>
      </c>
      <c r="U53" s="69">
        <f t="shared" si="17"/>
        <v>19506.54693</v>
      </c>
      <c r="V53" s="69">
        <f t="shared" si="18"/>
        <v>19444.45991</v>
      </c>
    </row>
    <row r="54">
      <c r="A54" s="24">
        <v>2.611606071E9</v>
      </c>
      <c r="B54" s="24" t="s">
        <v>91</v>
      </c>
      <c r="C54" s="24">
        <v>51862.0</v>
      </c>
      <c r="D54" s="63">
        <v>49944.0</v>
      </c>
      <c r="E54" s="72">
        <f t="shared" si="1"/>
        <v>0.9968645951</v>
      </c>
      <c r="F54" s="69">
        <f t="shared" si="2"/>
        <v>51862</v>
      </c>
      <c r="G54" s="69">
        <f t="shared" si="3"/>
        <v>51699.39163</v>
      </c>
      <c r="H54" s="69">
        <f t="shared" si="4"/>
        <v>51537.29311</v>
      </c>
      <c r="I54" s="69">
        <f t="shared" si="5"/>
        <v>51375.70282</v>
      </c>
      <c r="J54" s="69">
        <f t="shared" si="6"/>
        <v>51214.61919</v>
      </c>
      <c r="K54" s="69">
        <f t="shared" si="7"/>
        <v>51054.04063</v>
      </c>
      <c r="L54" s="69">
        <f t="shared" si="8"/>
        <v>50893.96554</v>
      </c>
      <c r="M54" s="69">
        <f t="shared" si="9"/>
        <v>50734.39235</v>
      </c>
      <c r="N54" s="69">
        <f t="shared" si="10"/>
        <v>50575.31948</v>
      </c>
      <c r="O54" s="69">
        <f t="shared" si="11"/>
        <v>50416.74538</v>
      </c>
      <c r="P54" s="69">
        <f t="shared" si="12"/>
        <v>50258.66847</v>
      </c>
      <c r="Q54" s="69">
        <f t="shared" si="13"/>
        <v>50101.08719</v>
      </c>
      <c r="R54" s="69">
        <f t="shared" si="14"/>
        <v>49944</v>
      </c>
      <c r="S54" s="69">
        <f t="shared" si="15"/>
        <v>49787.40534</v>
      </c>
      <c r="T54" s="69">
        <f t="shared" si="16"/>
        <v>49631.30166</v>
      </c>
      <c r="U54" s="69">
        <f t="shared" si="17"/>
        <v>49475.68744</v>
      </c>
      <c r="V54" s="69">
        <f t="shared" si="18"/>
        <v>49320.56112</v>
      </c>
    </row>
    <row r="55">
      <c r="A55" s="24">
        <v>2.611606073E9</v>
      </c>
      <c r="B55" s="24" t="s">
        <v>92</v>
      </c>
      <c r="C55" s="24">
        <v>10203.0</v>
      </c>
      <c r="D55" s="24">
        <v>9849.0</v>
      </c>
      <c r="E55" s="72">
        <f t="shared" si="1"/>
        <v>0.9970616697</v>
      </c>
      <c r="F55" s="69">
        <f t="shared" si="2"/>
        <v>10203</v>
      </c>
      <c r="G55" s="69">
        <f t="shared" si="3"/>
        <v>10173.02022</v>
      </c>
      <c r="H55" s="69">
        <f t="shared" si="4"/>
        <v>10143.12852</v>
      </c>
      <c r="I55" s="69">
        <f t="shared" si="5"/>
        <v>10113.32466</v>
      </c>
      <c r="J55" s="69">
        <f t="shared" si="6"/>
        <v>10083.60837</v>
      </c>
      <c r="K55" s="69">
        <f t="shared" si="7"/>
        <v>10053.9794</v>
      </c>
      <c r="L55" s="69">
        <f t="shared" si="8"/>
        <v>10024.43749</v>
      </c>
      <c r="M55" s="69">
        <f t="shared" si="9"/>
        <v>9994.982382</v>
      </c>
      <c r="N55" s="69">
        <f t="shared" si="10"/>
        <v>9965.613823</v>
      </c>
      <c r="O55" s="69">
        <f t="shared" si="11"/>
        <v>9936.331559</v>
      </c>
      <c r="P55" s="69">
        <f t="shared" si="12"/>
        <v>9907.135335</v>
      </c>
      <c r="Q55" s="69">
        <f t="shared" si="13"/>
        <v>9878.024899</v>
      </c>
      <c r="R55" s="69">
        <f t="shared" si="14"/>
        <v>9849</v>
      </c>
      <c r="S55" s="69">
        <f t="shared" si="15"/>
        <v>9820.060385</v>
      </c>
      <c r="T55" s="69">
        <f t="shared" si="16"/>
        <v>9791.205805</v>
      </c>
      <c r="U55" s="69">
        <f t="shared" si="17"/>
        <v>9762.436008</v>
      </c>
      <c r="V55" s="69">
        <f t="shared" si="18"/>
        <v>9733.750747</v>
      </c>
    </row>
    <row r="56">
      <c r="A56" s="24">
        <v>2.611606009E9</v>
      </c>
      <c r="B56" s="24" t="s">
        <v>93</v>
      </c>
      <c r="C56" s="24">
        <v>12622.0</v>
      </c>
      <c r="D56" s="24">
        <v>12257.0</v>
      </c>
      <c r="E56" s="72">
        <f t="shared" si="1"/>
        <v>0.997557644</v>
      </c>
      <c r="F56" s="69">
        <f t="shared" si="2"/>
        <v>12622</v>
      </c>
      <c r="G56" s="69">
        <f t="shared" si="3"/>
        <v>12591.17258</v>
      </c>
      <c r="H56" s="69">
        <f t="shared" si="4"/>
        <v>12560.42046</v>
      </c>
      <c r="I56" s="69">
        <f t="shared" si="5"/>
        <v>12529.74344</v>
      </c>
      <c r="J56" s="69">
        <f t="shared" si="6"/>
        <v>12499.14135</v>
      </c>
      <c r="K56" s="69">
        <f t="shared" si="7"/>
        <v>12468.61399</v>
      </c>
      <c r="L56" s="69">
        <f t="shared" si="8"/>
        <v>12438.1612</v>
      </c>
      <c r="M56" s="69">
        <f t="shared" si="9"/>
        <v>12407.78278</v>
      </c>
      <c r="N56" s="69">
        <f t="shared" si="10"/>
        <v>12377.47856</v>
      </c>
      <c r="O56" s="69">
        <f t="shared" si="11"/>
        <v>12347.24835</v>
      </c>
      <c r="P56" s="69">
        <f t="shared" si="12"/>
        <v>12317.09197</v>
      </c>
      <c r="Q56" s="69">
        <f t="shared" si="13"/>
        <v>12287.00925</v>
      </c>
      <c r="R56" s="69">
        <f t="shared" si="14"/>
        <v>12257</v>
      </c>
      <c r="S56" s="69">
        <f t="shared" si="15"/>
        <v>12227.06404</v>
      </c>
      <c r="T56" s="69">
        <f t="shared" si="16"/>
        <v>12197.2012</v>
      </c>
      <c r="U56" s="69">
        <f t="shared" si="17"/>
        <v>12167.41129</v>
      </c>
      <c r="V56" s="69">
        <f t="shared" si="18"/>
        <v>12137.69414</v>
      </c>
    </row>
    <row r="57">
      <c r="A57" s="24">
        <v>2.611606072E9</v>
      </c>
      <c r="B57" s="24" t="s">
        <v>94</v>
      </c>
      <c r="C57" s="24">
        <v>31991.0</v>
      </c>
      <c r="D57" s="24">
        <v>31130.0</v>
      </c>
      <c r="E57" s="72">
        <f t="shared" si="1"/>
        <v>0.9977290302</v>
      </c>
      <c r="F57" s="69">
        <f t="shared" si="2"/>
        <v>31991</v>
      </c>
      <c r="G57" s="69">
        <f t="shared" si="3"/>
        <v>31918.3494</v>
      </c>
      <c r="H57" s="69">
        <f t="shared" si="4"/>
        <v>31845.8638</v>
      </c>
      <c r="I57" s="69">
        <f t="shared" si="5"/>
        <v>31773.5428</v>
      </c>
      <c r="J57" s="69">
        <f t="shared" si="6"/>
        <v>31701.38604</v>
      </c>
      <c r="K57" s="69">
        <f t="shared" si="7"/>
        <v>31629.39315</v>
      </c>
      <c r="L57" s="69">
        <f t="shared" si="8"/>
        <v>31557.56375</v>
      </c>
      <c r="M57" s="69">
        <f t="shared" si="9"/>
        <v>31485.89748</v>
      </c>
      <c r="N57" s="69">
        <f t="shared" si="10"/>
        <v>31414.39395</v>
      </c>
      <c r="O57" s="69">
        <f t="shared" si="11"/>
        <v>31343.05281</v>
      </c>
      <c r="P57" s="69">
        <f t="shared" si="12"/>
        <v>31271.87369</v>
      </c>
      <c r="Q57" s="69">
        <f t="shared" si="13"/>
        <v>31200.8562</v>
      </c>
      <c r="R57" s="69">
        <f t="shared" si="14"/>
        <v>31130</v>
      </c>
      <c r="S57" s="69">
        <f t="shared" si="15"/>
        <v>31059.30471</v>
      </c>
      <c r="T57" s="69">
        <f t="shared" si="16"/>
        <v>30988.76996</v>
      </c>
      <c r="U57" s="69">
        <f t="shared" si="17"/>
        <v>30918.3954</v>
      </c>
      <c r="V57" s="69">
        <f t="shared" si="18"/>
        <v>30848.18066</v>
      </c>
    </row>
    <row r="58">
      <c r="A58" s="24">
        <v>2.611606002E9</v>
      </c>
      <c r="B58" s="24" t="s">
        <v>95</v>
      </c>
      <c r="C58" s="24">
        <v>27814.0</v>
      </c>
      <c r="D58" s="24">
        <v>27103.0</v>
      </c>
      <c r="E58" s="72">
        <f t="shared" si="1"/>
        <v>0.9978444043</v>
      </c>
      <c r="F58" s="69">
        <f t="shared" si="2"/>
        <v>27814</v>
      </c>
      <c r="G58" s="69">
        <f t="shared" si="3"/>
        <v>27754.04426</v>
      </c>
      <c r="H58" s="69">
        <f t="shared" si="4"/>
        <v>27694.21776</v>
      </c>
      <c r="I58" s="69">
        <f t="shared" si="5"/>
        <v>27634.52023</v>
      </c>
      <c r="J58" s="69">
        <f t="shared" si="6"/>
        <v>27574.95137</v>
      </c>
      <c r="K58" s="69">
        <f t="shared" si="7"/>
        <v>27515.51093</v>
      </c>
      <c r="L58" s="69">
        <f t="shared" si="8"/>
        <v>27456.19861</v>
      </c>
      <c r="M58" s="69">
        <f t="shared" si="9"/>
        <v>27397.01414</v>
      </c>
      <c r="N58" s="69">
        <f t="shared" si="10"/>
        <v>27337.95726</v>
      </c>
      <c r="O58" s="69">
        <f t="shared" si="11"/>
        <v>27279.02767</v>
      </c>
      <c r="P58" s="69">
        <f t="shared" si="12"/>
        <v>27220.22512</v>
      </c>
      <c r="Q58" s="69">
        <f t="shared" si="13"/>
        <v>27161.54932</v>
      </c>
      <c r="R58" s="69">
        <f t="shared" si="14"/>
        <v>27103</v>
      </c>
      <c r="S58" s="69">
        <f t="shared" si="15"/>
        <v>27044.57689</v>
      </c>
      <c r="T58" s="69">
        <f t="shared" si="16"/>
        <v>26986.27972</v>
      </c>
      <c r="U58" s="69">
        <f t="shared" si="17"/>
        <v>26928.10821</v>
      </c>
      <c r="V58" s="69">
        <f t="shared" si="18"/>
        <v>26870.06209</v>
      </c>
    </row>
    <row r="59">
      <c r="A59" s="24">
        <v>2.611606063E9</v>
      </c>
      <c r="B59" s="24" t="s">
        <v>96</v>
      </c>
      <c r="C59" s="24">
        <v>11680.0</v>
      </c>
      <c r="D59" s="24">
        <v>11412.0</v>
      </c>
      <c r="E59" s="72">
        <f t="shared" si="1"/>
        <v>0.998067491</v>
      </c>
      <c r="F59" s="69">
        <f t="shared" si="2"/>
        <v>11680</v>
      </c>
      <c r="G59" s="69">
        <f t="shared" si="3"/>
        <v>11657.4283</v>
      </c>
      <c r="H59" s="69">
        <f t="shared" si="4"/>
        <v>11634.90021</v>
      </c>
      <c r="I59" s="69">
        <f t="shared" si="5"/>
        <v>11612.41566</v>
      </c>
      <c r="J59" s="69">
        <f t="shared" si="6"/>
        <v>11589.97456</v>
      </c>
      <c r="K59" s="69">
        <f t="shared" si="7"/>
        <v>11567.57683</v>
      </c>
      <c r="L59" s="69">
        <f t="shared" si="8"/>
        <v>11545.22239</v>
      </c>
      <c r="M59" s="69">
        <f t="shared" si="9"/>
        <v>11522.91114</v>
      </c>
      <c r="N59" s="69">
        <f t="shared" si="10"/>
        <v>11500.64301</v>
      </c>
      <c r="O59" s="69">
        <f t="shared" si="11"/>
        <v>11478.41792</v>
      </c>
      <c r="P59" s="69">
        <f t="shared" si="12"/>
        <v>11456.23577</v>
      </c>
      <c r="Q59" s="69">
        <f t="shared" si="13"/>
        <v>11434.09649</v>
      </c>
      <c r="R59" s="69">
        <f t="shared" si="14"/>
        <v>11412</v>
      </c>
      <c r="S59" s="69">
        <f t="shared" si="15"/>
        <v>11389.94621</v>
      </c>
      <c r="T59" s="69">
        <f t="shared" si="16"/>
        <v>11367.93503</v>
      </c>
      <c r="U59" s="69">
        <f t="shared" si="17"/>
        <v>11345.9664</v>
      </c>
      <c r="V59" s="69">
        <f t="shared" si="18"/>
        <v>11324.04022</v>
      </c>
    </row>
    <row r="60">
      <c r="A60" s="24">
        <v>2.611606088E9</v>
      </c>
      <c r="B60" s="24" t="s">
        <v>97</v>
      </c>
      <c r="C60" s="24">
        <v>20768.0</v>
      </c>
      <c r="D60" s="24">
        <v>20449.0</v>
      </c>
      <c r="E60" s="72">
        <f t="shared" si="1"/>
        <v>0.998710885</v>
      </c>
      <c r="F60" s="69">
        <f t="shared" si="2"/>
        <v>20768</v>
      </c>
      <c r="G60" s="69">
        <f t="shared" si="3"/>
        <v>20741.22766</v>
      </c>
      <c r="H60" s="69">
        <f t="shared" si="4"/>
        <v>20714.48983</v>
      </c>
      <c r="I60" s="69">
        <f t="shared" si="5"/>
        <v>20687.78648</v>
      </c>
      <c r="J60" s="69">
        <f t="shared" si="6"/>
        <v>20661.11754</v>
      </c>
      <c r="K60" s="69">
        <f t="shared" si="7"/>
        <v>20634.48298</v>
      </c>
      <c r="L60" s="69">
        <f t="shared" si="8"/>
        <v>20607.88276</v>
      </c>
      <c r="M60" s="69">
        <f t="shared" si="9"/>
        <v>20581.31683</v>
      </c>
      <c r="N60" s="69">
        <f t="shared" si="10"/>
        <v>20554.78515</v>
      </c>
      <c r="O60" s="69">
        <f t="shared" si="11"/>
        <v>20528.28767</v>
      </c>
      <c r="P60" s="69">
        <f t="shared" si="12"/>
        <v>20501.82435</v>
      </c>
      <c r="Q60" s="69">
        <f t="shared" si="13"/>
        <v>20475.39514</v>
      </c>
      <c r="R60" s="69">
        <f t="shared" si="14"/>
        <v>20449</v>
      </c>
      <c r="S60" s="69">
        <f t="shared" si="15"/>
        <v>20422.63889</v>
      </c>
      <c r="T60" s="69">
        <f t="shared" si="16"/>
        <v>20396.31176</v>
      </c>
      <c r="U60" s="69">
        <f t="shared" si="17"/>
        <v>20370.01857</v>
      </c>
      <c r="V60" s="69">
        <f t="shared" si="18"/>
        <v>20343.75927</v>
      </c>
    </row>
    <row r="61">
      <c r="A61" s="24">
        <v>2.611606024E9</v>
      </c>
      <c r="B61" s="24" t="s">
        <v>98</v>
      </c>
      <c r="C61" s="24">
        <v>32113.0</v>
      </c>
      <c r="D61" s="24">
        <v>31783.0</v>
      </c>
      <c r="E61" s="72">
        <f t="shared" si="1"/>
        <v>0.999139589</v>
      </c>
      <c r="F61" s="69">
        <f t="shared" si="2"/>
        <v>32113</v>
      </c>
      <c r="G61" s="69">
        <f t="shared" si="3"/>
        <v>32085.36962</v>
      </c>
      <c r="H61" s="69">
        <f t="shared" si="4"/>
        <v>32057.76301</v>
      </c>
      <c r="I61" s="69">
        <f t="shared" si="5"/>
        <v>32030.18016</v>
      </c>
      <c r="J61" s="69">
        <f t="shared" si="6"/>
        <v>32002.62104</v>
      </c>
      <c r="K61" s="69">
        <f t="shared" si="7"/>
        <v>31975.08563</v>
      </c>
      <c r="L61" s="69">
        <f t="shared" si="8"/>
        <v>31947.57391</v>
      </c>
      <c r="M61" s="69">
        <f t="shared" si="9"/>
        <v>31920.08587</v>
      </c>
      <c r="N61" s="69">
        <f t="shared" si="10"/>
        <v>31892.62147</v>
      </c>
      <c r="O61" s="69">
        <f t="shared" si="11"/>
        <v>31865.18071</v>
      </c>
      <c r="P61" s="69">
        <f t="shared" si="12"/>
        <v>31837.76356</v>
      </c>
      <c r="Q61" s="69">
        <f t="shared" si="13"/>
        <v>31810.36999</v>
      </c>
      <c r="R61" s="69">
        <f t="shared" si="14"/>
        <v>31783</v>
      </c>
      <c r="S61" s="69">
        <f t="shared" si="15"/>
        <v>31755.65356</v>
      </c>
      <c r="T61" s="69">
        <f t="shared" si="16"/>
        <v>31728.33064</v>
      </c>
      <c r="U61" s="69">
        <f t="shared" si="17"/>
        <v>31701.03123</v>
      </c>
      <c r="V61" s="69">
        <f t="shared" si="18"/>
        <v>31673.75532</v>
      </c>
    </row>
    <row r="62">
      <c r="A62" s="24">
        <v>2.611606044E9</v>
      </c>
      <c r="B62" s="24" t="s">
        <v>99</v>
      </c>
      <c r="C62" s="24">
        <v>20304.0</v>
      </c>
      <c r="D62" s="24">
        <v>20126.0</v>
      </c>
      <c r="E62" s="72">
        <f t="shared" si="1"/>
        <v>0.9992664859</v>
      </c>
      <c r="F62" s="69">
        <f t="shared" si="2"/>
        <v>20304</v>
      </c>
      <c r="G62" s="69">
        <f t="shared" si="3"/>
        <v>20289.10673</v>
      </c>
      <c r="H62" s="69">
        <f t="shared" si="4"/>
        <v>20274.22438</v>
      </c>
      <c r="I62" s="69">
        <f t="shared" si="5"/>
        <v>20259.35295</v>
      </c>
      <c r="J62" s="69">
        <f t="shared" si="6"/>
        <v>20244.49243</v>
      </c>
      <c r="K62" s="69">
        <f t="shared" si="7"/>
        <v>20229.64281</v>
      </c>
      <c r="L62" s="69">
        <f t="shared" si="8"/>
        <v>20214.80408</v>
      </c>
      <c r="M62" s="69">
        <f t="shared" si="9"/>
        <v>20199.97624</v>
      </c>
      <c r="N62" s="69">
        <f t="shared" si="10"/>
        <v>20185.15927</v>
      </c>
      <c r="O62" s="69">
        <f t="shared" si="11"/>
        <v>20170.35317</v>
      </c>
      <c r="P62" s="69">
        <f t="shared" si="12"/>
        <v>20155.55793</v>
      </c>
      <c r="Q62" s="69">
        <f t="shared" si="13"/>
        <v>20140.77354</v>
      </c>
      <c r="R62" s="69">
        <f t="shared" si="14"/>
        <v>20126</v>
      </c>
      <c r="S62" s="69">
        <f t="shared" si="15"/>
        <v>20111.23729</v>
      </c>
      <c r="T62" s="69">
        <f t="shared" si="16"/>
        <v>20096.48542</v>
      </c>
      <c r="U62" s="69">
        <f t="shared" si="17"/>
        <v>20081.74436</v>
      </c>
      <c r="V62" s="69">
        <f t="shared" si="18"/>
        <v>20067.01412</v>
      </c>
    </row>
    <row r="63">
      <c r="A63" s="24">
        <v>2.611606007E9</v>
      </c>
      <c r="B63" s="24" t="s">
        <v>100</v>
      </c>
      <c r="C63" s="24">
        <v>998.0</v>
      </c>
      <c r="D63" s="24">
        <v>990.0</v>
      </c>
      <c r="E63" s="72">
        <f t="shared" si="1"/>
        <v>0.9993295304</v>
      </c>
      <c r="F63" s="69">
        <f t="shared" si="2"/>
        <v>998</v>
      </c>
      <c r="G63" s="69">
        <f t="shared" si="3"/>
        <v>997.3308714</v>
      </c>
      <c r="H63" s="69">
        <f t="shared" si="4"/>
        <v>996.6621914</v>
      </c>
      <c r="I63" s="69">
        <f t="shared" si="5"/>
        <v>995.9939597</v>
      </c>
      <c r="J63" s="69">
        <f t="shared" si="6"/>
        <v>995.3261761</v>
      </c>
      <c r="K63" s="69">
        <f t="shared" si="7"/>
        <v>994.6588402</v>
      </c>
      <c r="L63" s="69">
        <f t="shared" si="8"/>
        <v>993.9919517</v>
      </c>
      <c r="M63" s="69">
        <f t="shared" si="9"/>
        <v>993.3255103</v>
      </c>
      <c r="N63" s="69">
        <f t="shared" si="10"/>
        <v>992.6595158</v>
      </c>
      <c r="O63" s="69">
        <f t="shared" si="11"/>
        <v>991.9939678</v>
      </c>
      <c r="P63" s="69">
        <f t="shared" si="12"/>
        <v>991.328866</v>
      </c>
      <c r="Q63" s="69">
        <f t="shared" si="13"/>
        <v>990.6642102</v>
      </c>
      <c r="R63" s="69">
        <f t="shared" si="14"/>
        <v>990</v>
      </c>
      <c r="S63" s="69">
        <f t="shared" si="15"/>
        <v>989.3362351</v>
      </c>
      <c r="T63" s="69">
        <f t="shared" si="16"/>
        <v>988.6729153</v>
      </c>
      <c r="U63" s="69">
        <f t="shared" si="17"/>
        <v>988.0100402</v>
      </c>
      <c r="V63" s="69">
        <f t="shared" si="18"/>
        <v>987.3476095</v>
      </c>
    </row>
    <row r="64">
      <c r="A64" s="24">
        <v>2.611606093E9</v>
      </c>
      <c r="B64" s="24" t="s">
        <v>101</v>
      </c>
      <c r="C64" s="24">
        <v>29153.0</v>
      </c>
      <c r="D64" s="24">
        <v>29195.0</v>
      </c>
      <c r="E64" s="72">
        <f t="shared" si="1"/>
        <v>1.000119977</v>
      </c>
      <c r="F64" s="69">
        <f t="shared" si="2"/>
        <v>29153</v>
      </c>
      <c r="G64" s="69">
        <f t="shared" si="3"/>
        <v>29156.49769</v>
      </c>
      <c r="H64" s="69">
        <f t="shared" si="4"/>
        <v>29159.9958</v>
      </c>
      <c r="I64" s="69">
        <f t="shared" si="5"/>
        <v>29163.49433</v>
      </c>
      <c r="J64" s="69">
        <f t="shared" si="6"/>
        <v>29166.99328</v>
      </c>
      <c r="K64" s="69">
        <f t="shared" si="7"/>
        <v>29170.49265</v>
      </c>
      <c r="L64" s="69">
        <f t="shared" si="8"/>
        <v>29173.99244</v>
      </c>
      <c r="M64" s="69">
        <f t="shared" si="9"/>
        <v>29177.49265</v>
      </c>
      <c r="N64" s="69">
        <f t="shared" si="10"/>
        <v>29180.99328</v>
      </c>
      <c r="O64" s="69">
        <f t="shared" si="11"/>
        <v>29184.49433</v>
      </c>
      <c r="P64" s="69">
        <f t="shared" si="12"/>
        <v>29187.9958</v>
      </c>
      <c r="Q64" s="69">
        <f t="shared" si="13"/>
        <v>29191.49769</v>
      </c>
      <c r="R64" s="69">
        <f t="shared" si="14"/>
        <v>29195</v>
      </c>
      <c r="S64" s="69">
        <f t="shared" si="15"/>
        <v>29198.50273</v>
      </c>
      <c r="T64" s="69">
        <f t="shared" si="16"/>
        <v>29202.00588</v>
      </c>
      <c r="U64" s="69">
        <f t="shared" si="17"/>
        <v>29205.50945</v>
      </c>
      <c r="V64" s="69">
        <f t="shared" si="18"/>
        <v>29209.01344</v>
      </c>
    </row>
    <row r="65">
      <c r="A65" s="24">
        <v>2.611606069E9</v>
      </c>
      <c r="B65" s="24" t="s">
        <v>102</v>
      </c>
      <c r="C65" s="24">
        <v>70283.0</v>
      </c>
      <c r="D65" s="24">
        <v>70946.0</v>
      </c>
      <c r="E65" s="72">
        <f t="shared" si="1"/>
        <v>1.000782729</v>
      </c>
      <c r="F65" s="69">
        <f t="shared" si="2"/>
        <v>70283</v>
      </c>
      <c r="G65" s="69">
        <f t="shared" si="3"/>
        <v>70338.01255</v>
      </c>
      <c r="H65" s="69">
        <f t="shared" si="4"/>
        <v>70393.06816</v>
      </c>
      <c r="I65" s="69">
        <f t="shared" si="5"/>
        <v>70448.16687</v>
      </c>
      <c r="J65" s="69">
        <f t="shared" si="6"/>
        <v>70503.3087</v>
      </c>
      <c r="K65" s="69">
        <f t="shared" si="7"/>
        <v>70558.49369</v>
      </c>
      <c r="L65" s="69">
        <f t="shared" si="8"/>
        <v>70613.72188</v>
      </c>
      <c r="M65" s="69">
        <f t="shared" si="9"/>
        <v>70668.9933</v>
      </c>
      <c r="N65" s="69">
        <f t="shared" si="10"/>
        <v>70724.30798</v>
      </c>
      <c r="O65" s="69">
        <f t="shared" si="11"/>
        <v>70779.66595</v>
      </c>
      <c r="P65" s="69">
        <f t="shared" si="12"/>
        <v>70835.06726</v>
      </c>
      <c r="Q65" s="69">
        <f t="shared" si="13"/>
        <v>70890.51193</v>
      </c>
      <c r="R65" s="69">
        <f t="shared" si="14"/>
        <v>70946</v>
      </c>
      <c r="S65" s="69">
        <f t="shared" si="15"/>
        <v>71001.5315</v>
      </c>
      <c r="T65" s="69">
        <f t="shared" si="16"/>
        <v>71057.10647</v>
      </c>
      <c r="U65" s="69">
        <f t="shared" si="17"/>
        <v>71112.72493</v>
      </c>
      <c r="V65" s="69">
        <f t="shared" si="18"/>
        <v>71168.38694</v>
      </c>
    </row>
    <row r="66">
      <c r="A66" s="24">
        <v>2.61160608E9</v>
      </c>
      <c r="B66" s="24" t="s">
        <v>103</v>
      </c>
      <c r="C66" s="24">
        <v>16194.0</v>
      </c>
      <c r="D66" s="63">
        <v>16559.0</v>
      </c>
      <c r="E66" s="72">
        <f t="shared" si="1"/>
        <v>1.001859139</v>
      </c>
      <c r="F66" s="69">
        <f t="shared" si="2"/>
        <v>16194</v>
      </c>
      <c r="G66" s="69">
        <f t="shared" si="3"/>
        <v>16224.1069</v>
      </c>
      <c r="H66" s="69">
        <f t="shared" si="4"/>
        <v>16254.26977</v>
      </c>
      <c r="I66" s="69">
        <f t="shared" si="5"/>
        <v>16284.48872</v>
      </c>
      <c r="J66" s="69">
        <f t="shared" si="6"/>
        <v>16314.76385</v>
      </c>
      <c r="K66" s="69">
        <f t="shared" si="7"/>
        <v>16345.09527</v>
      </c>
      <c r="L66" s="69">
        <f t="shared" si="8"/>
        <v>16375.48308</v>
      </c>
      <c r="M66" s="69">
        <f t="shared" si="9"/>
        <v>16405.92738</v>
      </c>
      <c r="N66" s="69">
        <f t="shared" si="10"/>
        <v>16436.42828</v>
      </c>
      <c r="O66" s="69">
        <f t="shared" si="11"/>
        <v>16466.98589</v>
      </c>
      <c r="P66" s="69">
        <f t="shared" si="12"/>
        <v>16497.60031</v>
      </c>
      <c r="Q66" s="69">
        <f t="shared" si="13"/>
        <v>16528.27164</v>
      </c>
      <c r="R66" s="69">
        <f t="shared" si="14"/>
        <v>16559</v>
      </c>
      <c r="S66" s="69">
        <f t="shared" si="15"/>
        <v>16589.78549</v>
      </c>
      <c r="T66" s="69">
        <f t="shared" si="16"/>
        <v>16620.62821</v>
      </c>
      <c r="U66" s="69">
        <f t="shared" si="17"/>
        <v>16651.52827</v>
      </c>
      <c r="V66" s="69">
        <f t="shared" si="18"/>
        <v>16682.48578</v>
      </c>
    </row>
    <row r="67">
      <c r="A67" s="24">
        <v>2.611606092E9</v>
      </c>
      <c r="B67" s="24" t="s">
        <v>104</v>
      </c>
      <c r="C67" s="24">
        <v>122689.0</v>
      </c>
      <c r="D67" s="24">
        <v>125805.0</v>
      </c>
      <c r="E67" s="72">
        <f t="shared" si="1"/>
        <v>1.002092218</v>
      </c>
      <c r="F67" s="69">
        <f t="shared" si="2"/>
        <v>122689</v>
      </c>
      <c r="G67" s="69">
        <f t="shared" si="3"/>
        <v>122945.6922</v>
      </c>
      <c r="H67" s="69">
        <f t="shared" si="4"/>
        <v>123202.9214</v>
      </c>
      <c r="I67" s="69">
        <f t="shared" si="5"/>
        <v>123460.6888</v>
      </c>
      <c r="J67" s="69">
        <f t="shared" si="6"/>
        <v>123718.9955</v>
      </c>
      <c r="K67" s="69">
        <f t="shared" si="7"/>
        <v>123977.8426</v>
      </c>
      <c r="L67" s="69">
        <f t="shared" si="8"/>
        <v>124237.2313</v>
      </c>
      <c r="M67" s="69">
        <f t="shared" si="9"/>
        <v>124497.1627</v>
      </c>
      <c r="N67" s="69">
        <f t="shared" si="10"/>
        <v>124757.6379</v>
      </c>
      <c r="O67" s="69">
        <f t="shared" si="11"/>
        <v>125018.6582</v>
      </c>
      <c r="P67" s="69">
        <f t="shared" si="12"/>
        <v>125280.2245</v>
      </c>
      <c r="Q67" s="69">
        <f t="shared" si="13"/>
        <v>125542.338</v>
      </c>
      <c r="R67" s="69">
        <f t="shared" si="14"/>
        <v>125805</v>
      </c>
      <c r="S67" s="69">
        <f t="shared" si="15"/>
        <v>126068.2115</v>
      </c>
      <c r="T67" s="69">
        <f t="shared" si="16"/>
        <v>126331.9737</v>
      </c>
      <c r="U67" s="69">
        <f t="shared" si="17"/>
        <v>126596.2878</v>
      </c>
      <c r="V67" s="69">
        <f t="shared" si="18"/>
        <v>126861.1548</v>
      </c>
    </row>
    <row r="68">
      <c r="A68" s="24">
        <v>2.611606016E9</v>
      </c>
      <c r="B68" s="24" t="s">
        <v>105</v>
      </c>
      <c r="C68" s="24">
        <v>10399.0</v>
      </c>
      <c r="D68" s="24">
        <v>10741.0</v>
      </c>
      <c r="E68" s="72">
        <f t="shared" si="1"/>
        <v>1.002700185</v>
      </c>
      <c r="F68" s="69">
        <f t="shared" si="2"/>
        <v>10399</v>
      </c>
      <c r="G68" s="69">
        <f t="shared" si="3"/>
        <v>10427.07922</v>
      </c>
      <c r="H68" s="69">
        <f t="shared" si="4"/>
        <v>10455.23426</v>
      </c>
      <c r="I68" s="69">
        <f t="shared" si="5"/>
        <v>10483.46532</v>
      </c>
      <c r="J68" s="69">
        <f t="shared" si="6"/>
        <v>10511.77261</v>
      </c>
      <c r="K68" s="69">
        <f t="shared" si="7"/>
        <v>10540.15634</v>
      </c>
      <c r="L68" s="69">
        <f t="shared" si="8"/>
        <v>10568.6167</v>
      </c>
      <c r="M68" s="69">
        <f t="shared" si="9"/>
        <v>10597.15392</v>
      </c>
      <c r="N68" s="69">
        <f t="shared" si="10"/>
        <v>10625.76819</v>
      </c>
      <c r="O68" s="69">
        <f t="shared" si="11"/>
        <v>10654.45972</v>
      </c>
      <c r="P68" s="69">
        <f t="shared" si="12"/>
        <v>10683.22873</v>
      </c>
      <c r="Q68" s="69">
        <f t="shared" si="13"/>
        <v>10712.07542</v>
      </c>
      <c r="R68" s="69">
        <f t="shared" si="14"/>
        <v>10741</v>
      </c>
      <c r="S68" s="69">
        <f t="shared" si="15"/>
        <v>10770.00268</v>
      </c>
      <c r="T68" s="69">
        <f t="shared" si="16"/>
        <v>10799.08368</v>
      </c>
      <c r="U68" s="69">
        <f t="shared" si="17"/>
        <v>10828.2432</v>
      </c>
      <c r="V68" s="69">
        <f t="shared" si="18"/>
        <v>10857.48145</v>
      </c>
    </row>
    <row r="69">
      <c r="A69" s="24">
        <v>2.611606011E9</v>
      </c>
      <c r="B69" s="24" t="s">
        <v>106</v>
      </c>
      <c r="C69" s="24">
        <v>8533.0</v>
      </c>
      <c r="D69" s="24">
        <v>8876.0</v>
      </c>
      <c r="E69" s="72">
        <f t="shared" si="1"/>
        <v>1.003289566</v>
      </c>
      <c r="F69" s="69">
        <f t="shared" si="2"/>
        <v>8533</v>
      </c>
      <c r="G69" s="69">
        <f t="shared" si="3"/>
        <v>8561.069866</v>
      </c>
      <c r="H69" s="69">
        <f t="shared" si="4"/>
        <v>8589.23207</v>
      </c>
      <c r="I69" s="69">
        <f t="shared" si="5"/>
        <v>8617.486915</v>
      </c>
      <c r="J69" s="69">
        <f t="shared" si="6"/>
        <v>8645.834706</v>
      </c>
      <c r="K69" s="69">
        <f t="shared" si="7"/>
        <v>8674.275749</v>
      </c>
      <c r="L69" s="69">
        <f t="shared" si="8"/>
        <v>8702.810351</v>
      </c>
      <c r="M69" s="69">
        <f t="shared" si="9"/>
        <v>8731.438819</v>
      </c>
      <c r="N69" s="69">
        <f t="shared" si="10"/>
        <v>8760.161462</v>
      </c>
      <c r="O69" s="69">
        <f t="shared" si="11"/>
        <v>8788.978591</v>
      </c>
      <c r="P69" s="69">
        <f t="shared" si="12"/>
        <v>8817.890515</v>
      </c>
      <c r="Q69" s="69">
        <f t="shared" si="13"/>
        <v>8846.897547</v>
      </c>
      <c r="R69" s="69">
        <f t="shared" si="14"/>
        <v>8876</v>
      </c>
      <c r="S69" s="69">
        <f t="shared" si="15"/>
        <v>8905.198187</v>
      </c>
      <c r="T69" s="69">
        <f t="shared" si="16"/>
        <v>8934.492423</v>
      </c>
      <c r="U69" s="69">
        <f t="shared" si="17"/>
        <v>8963.883025</v>
      </c>
      <c r="V69" s="69">
        <f t="shared" si="18"/>
        <v>8993.370309</v>
      </c>
    </row>
    <row r="70">
      <c r="A70" s="24">
        <v>2.611606003E9</v>
      </c>
      <c r="B70" s="24" t="s">
        <v>107</v>
      </c>
      <c r="C70" s="24">
        <v>12573.0</v>
      </c>
      <c r="D70" s="24">
        <v>13147.0</v>
      </c>
      <c r="E70" s="72">
        <f t="shared" si="1"/>
        <v>1.00372709</v>
      </c>
      <c r="F70" s="69">
        <f t="shared" si="2"/>
        <v>12573</v>
      </c>
      <c r="G70" s="69">
        <f t="shared" si="3"/>
        <v>12619.8607</v>
      </c>
      <c r="H70" s="69">
        <f t="shared" si="4"/>
        <v>12666.89606</v>
      </c>
      <c r="I70" s="69">
        <f t="shared" si="5"/>
        <v>12714.10672</v>
      </c>
      <c r="J70" s="69">
        <f t="shared" si="6"/>
        <v>12761.49334</v>
      </c>
      <c r="K70" s="69">
        <f t="shared" si="7"/>
        <v>12809.05657</v>
      </c>
      <c r="L70" s="69">
        <f t="shared" si="8"/>
        <v>12856.79707</v>
      </c>
      <c r="M70" s="69">
        <f t="shared" si="9"/>
        <v>12904.71551</v>
      </c>
      <c r="N70" s="69">
        <f t="shared" si="10"/>
        <v>12952.81255</v>
      </c>
      <c r="O70" s="69">
        <f t="shared" si="11"/>
        <v>13001.08884</v>
      </c>
      <c r="P70" s="69">
        <f t="shared" si="12"/>
        <v>13049.54507</v>
      </c>
      <c r="Q70" s="69">
        <f t="shared" si="13"/>
        <v>13098.1819</v>
      </c>
      <c r="R70" s="69">
        <f t="shared" si="14"/>
        <v>13147</v>
      </c>
      <c r="S70" s="69">
        <f t="shared" si="15"/>
        <v>13196.00005</v>
      </c>
      <c r="T70" s="69">
        <f t="shared" si="16"/>
        <v>13245.18273</v>
      </c>
      <c r="U70" s="69">
        <f t="shared" si="17"/>
        <v>13294.54872</v>
      </c>
      <c r="V70" s="69">
        <f t="shared" si="18"/>
        <v>13344.09869</v>
      </c>
    </row>
    <row r="71">
      <c r="A71" s="24">
        <v>2.611606064E9</v>
      </c>
      <c r="B71" s="24" t="s">
        <v>108</v>
      </c>
      <c r="C71" s="24">
        <v>3734.0</v>
      </c>
      <c r="D71" s="24">
        <v>3946.0</v>
      </c>
      <c r="E71" s="72">
        <f t="shared" si="1"/>
        <v>1.004612468</v>
      </c>
      <c r="F71" s="69">
        <f t="shared" si="2"/>
        <v>3734</v>
      </c>
      <c r="G71" s="69">
        <f t="shared" si="3"/>
        <v>3751.222957</v>
      </c>
      <c r="H71" s="69">
        <f t="shared" si="4"/>
        <v>3768.525354</v>
      </c>
      <c r="I71" s="69">
        <f t="shared" si="5"/>
        <v>3785.907558</v>
      </c>
      <c r="J71" s="69">
        <f t="shared" si="6"/>
        <v>3803.369937</v>
      </c>
      <c r="K71" s="69">
        <f t="shared" si="7"/>
        <v>3820.912861</v>
      </c>
      <c r="L71" s="69">
        <f t="shared" si="8"/>
        <v>3838.5367</v>
      </c>
      <c r="M71" s="69">
        <f t="shared" si="9"/>
        <v>3856.241829</v>
      </c>
      <c r="N71" s="69">
        <f t="shared" si="10"/>
        <v>3874.028623</v>
      </c>
      <c r="O71" s="69">
        <f t="shared" si="11"/>
        <v>3891.897457</v>
      </c>
      <c r="P71" s="69">
        <f t="shared" si="12"/>
        <v>3909.848711</v>
      </c>
      <c r="Q71" s="69">
        <f t="shared" si="13"/>
        <v>3927.882765</v>
      </c>
      <c r="R71" s="69">
        <f t="shared" si="14"/>
        <v>3946</v>
      </c>
      <c r="S71" s="69">
        <f t="shared" si="15"/>
        <v>3964.2008</v>
      </c>
      <c r="T71" s="69">
        <f t="shared" si="16"/>
        <v>3982.485551</v>
      </c>
      <c r="U71" s="69">
        <f t="shared" si="17"/>
        <v>4000.85464</v>
      </c>
      <c r="V71" s="69">
        <f t="shared" si="18"/>
        <v>4019.308455</v>
      </c>
    </row>
    <row r="72">
      <c r="A72" s="24">
        <v>2.611606091E9</v>
      </c>
      <c r="B72" s="24" t="s">
        <v>109</v>
      </c>
      <c r="C72" s="24">
        <v>48488.0</v>
      </c>
      <c r="D72" s="24">
        <v>52158.0</v>
      </c>
      <c r="E72" s="72">
        <f t="shared" si="1"/>
        <v>1.006098624</v>
      </c>
      <c r="F72" s="69">
        <f t="shared" si="2"/>
        <v>48488</v>
      </c>
      <c r="G72" s="69">
        <f t="shared" si="3"/>
        <v>48783.71007</v>
      </c>
      <c r="H72" s="69">
        <f t="shared" si="4"/>
        <v>49081.22356</v>
      </c>
      <c r="I72" s="69">
        <f t="shared" si="5"/>
        <v>49380.55147</v>
      </c>
      <c r="J72" s="69">
        <f t="shared" si="6"/>
        <v>49681.70488</v>
      </c>
      <c r="K72" s="69">
        <f t="shared" si="7"/>
        <v>49984.6949</v>
      </c>
      <c r="L72" s="69">
        <f t="shared" si="8"/>
        <v>50289.53275</v>
      </c>
      <c r="M72" s="69">
        <f t="shared" si="9"/>
        <v>50596.22969</v>
      </c>
      <c r="N72" s="69">
        <f t="shared" si="10"/>
        <v>50904.79705</v>
      </c>
      <c r="O72" s="69">
        <f t="shared" si="11"/>
        <v>51215.24626</v>
      </c>
      <c r="P72" s="69">
        <f t="shared" si="12"/>
        <v>51527.58877</v>
      </c>
      <c r="Q72" s="69">
        <f t="shared" si="13"/>
        <v>51841.83615</v>
      </c>
      <c r="R72" s="69">
        <f t="shared" si="14"/>
        <v>52158</v>
      </c>
      <c r="S72" s="69">
        <f t="shared" si="15"/>
        <v>52476.09202</v>
      </c>
      <c r="T72" s="69">
        <f t="shared" si="16"/>
        <v>52796.12396</v>
      </c>
      <c r="U72" s="69">
        <f t="shared" si="17"/>
        <v>53118.10765</v>
      </c>
      <c r="V72" s="69">
        <f t="shared" si="18"/>
        <v>53442.055</v>
      </c>
    </row>
    <row r="73">
      <c r="A73" s="24">
        <v>2.611606039E9</v>
      </c>
      <c r="B73" s="24" t="s">
        <v>110</v>
      </c>
      <c r="C73" s="24">
        <v>7275.0</v>
      </c>
      <c r="D73" s="24">
        <v>7996.0</v>
      </c>
      <c r="E73" s="72">
        <f t="shared" si="1"/>
        <v>1.007905888</v>
      </c>
      <c r="F73" s="69">
        <f t="shared" si="2"/>
        <v>7275</v>
      </c>
      <c r="G73" s="69">
        <f t="shared" si="3"/>
        <v>7332.515336</v>
      </c>
      <c r="H73" s="69">
        <f t="shared" si="4"/>
        <v>7390.485381</v>
      </c>
      <c r="I73" s="69">
        <f t="shared" si="5"/>
        <v>7448.913732</v>
      </c>
      <c r="J73" s="69">
        <f t="shared" si="6"/>
        <v>7507.80401</v>
      </c>
      <c r="K73" s="69">
        <f t="shared" si="7"/>
        <v>7567.159868</v>
      </c>
      <c r="L73" s="69">
        <f t="shared" si="8"/>
        <v>7626.984988</v>
      </c>
      <c r="M73" s="69">
        <f t="shared" si="9"/>
        <v>7687.283077</v>
      </c>
      <c r="N73" s="69">
        <f t="shared" si="10"/>
        <v>7748.057877</v>
      </c>
      <c r="O73" s="69">
        <f t="shared" si="11"/>
        <v>7809.313155</v>
      </c>
      <c r="P73" s="69">
        <f t="shared" si="12"/>
        <v>7871.052711</v>
      </c>
      <c r="Q73" s="69">
        <f t="shared" si="13"/>
        <v>7933.280373</v>
      </c>
      <c r="R73" s="69">
        <f t="shared" si="14"/>
        <v>7996</v>
      </c>
      <c r="S73" s="69">
        <f t="shared" si="15"/>
        <v>8059.215481</v>
      </c>
      <c r="T73" s="69">
        <f t="shared" si="16"/>
        <v>8122.930737</v>
      </c>
      <c r="U73" s="69">
        <f t="shared" si="17"/>
        <v>8187.149718</v>
      </c>
      <c r="V73" s="69">
        <f t="shared" si="18"/>
        <v>8251.876408</v>
      </c>
    </row>
    <row r="74">
      <c r="A74" s="24">
        <v>2.611606084E9</v>
      </c>
      <c r="B74" s="24" t="s">
        <v>111</v>
      </c>
      <c r="C74" s="24">
        <v>8838.0</v>
      </c>
      <c r="D74" s="24">
        <v>9835.0</v>
      </c>
      <c r="E74" s="72">
        <f t="shared" si="1"/>
        <v>1.008947025</v>
      </c>
      <c r="F74" s="69">
        <f t="shared" si="2"/>
        <v>8838</v>
      </c>
      <c r="G74" s="69">
        <f t="shared" si="3"/>
        <v>8917.073803</v>
      </c>
      <c r="H74" s="69">
        <f t="shared" si="4"/>
        <v>8996.855082</v>
      </c>
      <c r="I74" s="69">
        <f t="shared" si="5"/>
        <v>9077.350165</v>
      </c>
      <c r="J74" s="69">
        <f t="shared" si="6"/>
        <v>9158.56544</v>
      </c>
      <c r="K74" s="69">
        <f t="shared" si="7"/>
        <v>9240.50735</v>
      </c>
      <c r="L74" s="69">
        <f t="shared" si="8"/>
        <v>9323.182397</v>
      </c>
      <c r="M74" s="69">
        <f t="shared" si="9"/>
        <v>9406.597139</v>
      </c>
      <c r="N74" s="69">
        <f t="shared" si="10"/>
        <v>9490.758194</v>
      </c>
      <c r="O74" s="69">
        <f t="shared" si="11"/>
        <v>9575.672241</v>
      </c>
      <c r="P74" s="69">
        <f t="shared" si="12"/>
        <v>9661.346016</v>
      </c>
      <c r="Q74" s="69">
        <f t="shared" si="13"/>
        <v>9747.786316</v>
      </c>
      <c r="R74" s="69">
        <f t="shared" si="14"/>
        <v>9835</v>
      </c>
      <c r="S74" s="69">
        <f t="shared" si="15"/>
        <v>9922.993987</v>
      </c>
      <c r="T74" s="69">
        <f t="shared" si="16"/>
        <v>10011.77526</v>
      </c>
      <c r="U74" s="69">
        <f t="shared" si="17"/>
        <v>10101.35086</v>
      </c>
      <c r="V74" s="69">
        <f t="shared" si="18"/>
        <v>10191.72789</v>
      </c>
    </row>
    <row r="75">
      <c r="A75" s="24">
        <v>2.611606048E9</v>
      </c>
      <c r="B75" s="24" t="s">
        <v>112</v>
      </c>
      <c r="C75" s="24">
        <v>29044.0</v>
      </c>
      <c r="D75" s="24">
        <v>32450.0</v>
      </c>
      <c r="E75" s="72">
        <f t="shared" si="1"/>
        <v>1.009283537</v>
      </c>
      <c r="F75" s="69">
        <f t="shared" si="2"/>
        <v>29044</v>
      </c>
      <c r="G75" s="69">
        <f t="shared" si="3"/>
        <v>29313.63106</v>
      </c>
      <c r="H75" s="69">
        <f t="shared" si="4"/>
        <v>29585.76525</v>
      </c>
      <c r="I75" s="69">
        <f t="shared" si="5"/>
        <v>29860.4258</v>
      </c>
      <c r="J75" s="69">
        <f t="shared" si="6"/>
        <v>30137.63618</v>
      </c>
      <c r="K75" s="69">
        <f t="shared" si="7"/>
        <v>30417.42005</v>
      </c>
      <c r="L75" s="69">
        <f t="shared" si="8"/>
        <v>30699.8013</v>
      </c>
      <c r="M75" s="69">
        <f t="shared" si="9"/>
        <v>30984.80405</v>
      </c>
      <c r="N75" s="69">
        <f t="shared" si="10"/>
        <v>31272.45264</v>
      </c>
      <c r="O75" s="69">
        <f t="shared" si="11"/>
        <v>31562.77162</v>
      </c>
      <c r="P75" s="69">
        <f t="shared" si="12"/>
        <v>31855.78579</v>
      </c>
      <c r="Q75" s="69">
        <f t="shared" si="13"/>
        <v>32151.52016</v>
      </c>
      <c r="R75" s="69">
        <f t="shared" si="14"/>
        <v>32450</v>
      </c>
      <c r="S75" s="69">
        <f t="shared" si="15"/>
        <v>32751.25079</v>
      </c>
      <c r="T75" s="69">
        <f t="shared" si="16"/>
        <v>33055.29824</v>
      </c>
      <c r="U75" s="69">
        <f t="shared" si="17"/>
        <v>33362.16834</v>
      </c>
      <c r="V75" s="69">
        <f t="shared" si="18"/>
        <v>33671.88727</v>
      </c>
    </row>
    <row r="76">
      <c r="A76" s="24">
        <v>2.611606062E9</v>
      </c>
      <c r="B76" s="24" t="s">
        <v>113</v>
      </c>
      <c r="C76" s="24">
        <v>22838.0</v>
      </c>
      <c r="D76" s="24">
        <v>25832.0</v>
      </c>
      <c r="E76" s="72">
        <f t="shared" si="1"/>
        <v>1.010318558</v>
      </c>
      <c r="F76" s="69">
        <f t="shared" si="2"/>
        <v>22838</v>
      </c>
      <c r="G76" s="69">
        <f t="shared" si="3"/>
        <v>23073.65522</v>
      </c>
      <c r="H76" s="69">
        <f t="shared" si="4"/>
        <v>23311.74207</v>
      </c>
      <c r="I76" s="69">
        <f t="shared" si="5"/>
        <v>23552.28562</v>
      </c>
      <c r="J76" s="69">
        <f t="shared" si="6"/>
        <v>23795.31124</v>
      </c>
      <c r="K76" s="69">
        <f t="shared" si="7"/>
        <v>24040.84454</v>
      </c>
      <c r="L76" s="69">
        <f t="shared" si="8"/>
        <v>24288.91138</v>
      </c>
      <c r="M76" s="69">
        <f t="shared" si="9"/>
        <v>24539.53791</v>
      </c>
      <c r="N76" s="69">
        <f t="shared" si="10"/>
        <v>24792.75055</v>
      </c>
      <c r="O76" s="69">
        <f t="shared" si="11"/>
        <v>25048.57598</v>
      </c>
      <c r="P76" s="69">
        <f t="shared" si="12"/>
        <v>25307.04116</v>
      </c>
      <c r="Q76" s="69">
        <f t="shared" si="13"/>
        <v>25568.17333</v>
      </c>
      <c r="R76" s="69">
        <f t="shared" si="14"/>
        <v>25832</v>
      </c>
      <c r="S76" s="69">
        <f t="shared" si="15"/>
        <v>26098.54898</v>
      </c>
      <c r="T76" s="69">
        <f t="shared" si="16"/>
        <v>26367.84837</v>
      </c>
      <c r="U76" s="69">
        <f t="shared" si="17"/>
        <v>26639.92654</v>
      </c>
      <c r="V76" s="69">
        <f t="shared" si="18"/>
        <v>26914.81216</v>
      </c>
    </row>
    <row r="77">
      <c r="A77" s="24">
        <v>2.611606058E9</v>
      </c>
      <c r="B77" s="24" t="s">
        <v>114</v>
      </c>
      <c r="C77" s="24">
        <v>5913.0</v>
      </c>
      <c r="D77" s="24">
        <v>6738.0</v>
      </c>
      <c r="E77" s="72">
        <f t="shared" si="1"/>
        <v>1.0109436</v>
      </c>
      <c r="F77" s="69">
        <f t="shared" si="2"/>
        <v>5913</v>
      </c>
      <c r="G77" s="69">
        <f t="shared" si="3"/>
        <v>5977.709508</v>
      </c>
      <c r="H77" s="69">
        <f t="shared" si="4"/>
        <v>6043.127171</v>
      </c>
      <c r="I77" s="69">
        <f t="shared" si="5"/>
        <v>6109.260739</v>
      </c>
      <c r="J77" s="69">
        <f t="shared" si="6"/>
        <v>6176.118046</v>
      </c>
      <c r="K77" s="69">
        <f t="shared" si="7"/>
        <v>6243.707013</v>
      </c>
      <c r="L77" s="69">
        <f t="shared" si="8"/>
        <v>6312.035646</v>
      </c>
      <c r="M77" s="69">
        <f t="shared" si="9"/>
        <v>6381.112041</v>
      </c>
      <c r="N77" s="69">
        <f t="shared" si="10"/>
        <v>6450.94438</v>
      </c>
      <c r="O77" s="69">
        <f t="shared" si="11"/>
        <v>6521.540936</v>
      </c>
      <c r="P77" s="69">
        <f t="shared" si="12"/>
        <v>6592.910073</v>
      </c>
      <c r="Q77" s="69">
        <f t="shared" si="13"/>
        <v>6665.060245</v>
      </c>
      <c r="R77" s="69">
        <f t="shared" si="14"/>
        <v>6738</v>
      </c>
      <c r="S77" s="69">
        <f t="shared" si="15"/>
        <v>6811.737978</v>
      </c>
      <c r="T77" s="69">
        <f t="shared" si="16"/>
        <v>6886.282915</v>
      </c>
      <c r="U77" s="69">
        <f t="shared" si="17"/>
        <v>6961.643643</v>
      </c>
      <c r="V77" s="69">
        <f t="shared" si="18"/>
        <v>7037.829088</v>
      </c>
    </row>
    <row r="78">
      <c r="A78" s="24">
        <v>2.611606059E9</v>
      </c>
      <c r="B78" s="24" t="s">
        <v>115</v>
      </c>
      <c r="C78" s="24">
        <v>17865.0</v>
      </c>
      <c r="D78" s="24">
        <v>20872.0</v>
      </c>
      <c r="E78" s="72">
        <f t="shared" si="1"/>
        <v>1.013048148</v>
      </c>
      <c r="F78" s="69">
        <f t="shared" si="2"/>
        <v>17865</v>
      </c>
      <c r="G78" s="69">
        <f t="shared" si="3"/>
        <v>18098.10517</v>
      </c>
      <c r="H78" s="69">
        <f t="shared" si="4"/>
        <v>18334.25194</v>
      </c>
      <c r="I78" s="69">
        <f t="shared" si="5"/>
        <v>18573.47998</v>
      </c>
      <c r="J78" s="69">
        <f t="shared" si="6"/>
        <v>18815.8295</v>
      </c>
      <c r="K78" s="69">
        <f t="shared" si="7"/>
        <v>19061.34124</v>
      </c>
      <c r="L78" s="69">
        <f t="shared" si="8"/>
        <v>19310.05645</v>
      </c>
      <c r="M78" s="69">
        <f t="shared" si="9"/>
        <v>19562.01693</v>
      </c>
      <c r="N78" s="69">
        <f t="shared" si="10"/>
        <v>19817.26503</v>
      </c>
      <c r="O78" s="69">
        <f t="shared" si="11"/>
        <v>20075.84365</v>
      </c>
      <c r="P78" s="69">
        <f t="shared" si="12"/>
        <v>20337.79624</v>
      </c>
      <c r="Q78" s="69">
        <f t="shared" si="13"/>
        <v>20603.16682</v>
      </c>
      <c r="R78" s="69">
        <f t="shared" si="14"/>
        <v>20872</v>
      </c>
      <c r="S78" s="69">
        <f t="shared" si="15"/>
        <v>21144.34095</v>
      </c>
      <c r="T78" s="69">
        <f t="shared" si="16"/>
        <v>21420.23545</v>
      </c>
      <c r="U78" s="69">
        <f t="shared" si="17"/>
        <v>21699.72987</v>
      </c>
      <c r="V78" s="69">
        <f t="shared" si="18"/>
        <v>21982.87116</v>
      </c>
    </row>
    <row r="79">
      <c r="A79" s="24">
        <v>2.611606006E9</v>
      </c>
      <c r="B79" s="24" t="s">
        <v>116</v>
      </c>
      <c r="C79" s="24">
        <v>486.0</v>
      </c>
      <c r="D79" s="24">
        <v>568.0</v>
      </c>
      <c r="E79" s="72">
        <f t="shared" si="1"/>
        <v>1.013077505</v>
      </c>
      <c r="F79" s="69">
        <f t="shared" si="2"/>
        <v>486</v>
      </c>
      <c r="G79" s="69">
        <f t="shared" si="3"/>
        <v>492.3556675</v>
      </c>
      <c r="H79" s="69">
        <f t="shared" si="4"/>
        <v>498.7944513</v>
      </c>
      <c r="I79" s="69">
        <f t="shared" si="5"/>
        <v>505.3174384</v>
      </c>
      <c r="J79" s="69">
        <f t="shared" si="6"/>
        <v>511.9257298</v>
      </c>
      <c r="K79" s="69">
        <f t="shared" si="7"/>
        <v>518.6204412</v>
      </c>
      <c r="L79" s="69">
        <f t="shared" si="8"/>
        <v>525.4027027</v>
      </c>
      <c r="M79" s="69">
        <f t="shared" si="9"/>
        <v>532.2736593</v>
      </c>
      <c r="N79" s="69">
        <f t="shared" si="10"/>
        <v>539.2344708</v>
      </c>
      <c r="O79" s="69">
        <f t="shared" si="11"/>
        <v>546.2863124</v>
      </c>
      <c r="P79" s="69">
        <f t="shared" si="12"/>
        <v>553.4303745</v>
      </c>
      <c r="Q79" s="69">
        <f t="shared" si="13"/>
        <v>560.6678631</v>
      </c>
      <c r="R79" s="69">
        <f t="shared" si="14"/>
        <v>568</v>
      </c>
      <c r="S79" s="69">
        <f t="shared" si="15"/>
        <v>575.428023</v>
      </c>
      <c r="T79" s="69">
        <f t="shared" si="16"/>
        <v>582.9531859</v>
      </c>
      <c r="U79" s="69">
        <f t="shared" si="17"/>
        <v>590.5767592</v>
      </c>
      <c r="V79" s="69">
        <f t="shared" si="18"/>
        <v>598.3000299</v>
      </c>
    </row>
    <row r="80">
      <c r="A80" s="24">
        <v>2.611606076E9</v>
      </c>
      <c r="B80" s="24" t="s">
        <v>117</v>
      </c>
      <c r="C80" s="24">
        <v>10236.0</v>
      </c>
      <c r="D80" s="24">
        <v>12051.0</v>
      </c>
      <c r="E80" s="72">
        <f t="shared" si="1"/>
        <v>1.013696003</v>
      </c>
      <c r="F80" s="69">
        <f t="shared" si="2"/>
        <v>10236</v>
      </c>
      <c r="G80" s="69">
        <f t="shared" si="3"/>
        <v>10376.19229</v>
      </c>
      <c r="H80" s="69">
        <f t="shared" si="4"/>
        <v>10518.30465</v>
      </c>
      <c r="I80" s="69">
        <f t="shared" si="5"/>
        <v>10662.36338</v>
      </c>
      <c r="J80" s="69">
        <f t="shared" si="6"/>
        <v>10808.39514</v>
      </c>
      <c r="K80" s="69">
        <f t="shared" si="7"/>
        <v>10956.42696</v>
      </c>
      <c r="L80" s="69">
        <f t="shared" si="8"/>
        <v>11106.48621</v>
      </c>
      <c r="M80" s="69">
        <f t="shared" si="9"/>
        <v>11258.60068</v>
      </c>
      <c r="N80" s="69">
        <f t="shared" si="10"/>
        <v>11412.79851</v>
      </c>
      <c r="O80" s="69">
        <f t="shared" si="11"/>
        <v>11569.10823</v>
      </c>
      <c r="P80" s="69">
        <f t="shared" si="12"/>
        <v>11727.55878</v>
      </c>
      <c r="Q80" s="69">
        <f t="shared" si="13"/>
        <v>11888.17946</v>
      </c>
      <c r="R80" s="69">
        <f t="shared" si="14"/>
        <v>12051</v>
      </c>
      <c r="S80" s="69">
        <f t="shared" si="15"/>
        <v>12216.05053</v>
      </c>
      <c r="T80" s="69">
        <f t="shared" si="16"/>
        <v>12383.3616</v>
      </c>
      <c r="U80" s="69">
        <f t="shared" si="17"/>
        <v>12552.96416</v>
      </c>
      <c r="V80" s="69">
        <f t="shared" si="18"/>
        <v>12724.88959</v>
      </c>
    </row>
    <row r="81">
      <c r="A81" s="24">
        <v>2.61160604E9</v>
      </c>
      <c r="B81" s="24" t="s">
        <v>118</v>
      </c>
      <c r="C81" s="24">
        <v>2560.0</v>
      </c>
      <c r="D81" s="24">
        <v>3026.0</v>
      </c>
      <c r="E81" s="72">
        <f t="shared" si="1"/>
        <v>1.014033758</v>
      </c>
      <c r="F81" s="69">
        <f t="shared" si="2"/>
        <v>2560</v>
      </c>
      <c r="G81" s="69">
        <f t="shared" si="3"/>
        <v>2595.92642</v>
      </c>
      <c r="H81" s="69">
        <f t="shared" si="4"/>
        <v>2632.357023</v>
      </c>
      <c r="I81" s="69">
        <f t="shared" si="5"/>
        <v>2669.298884</v>
      </c>
      <c r="J81" s="69">
        <f t="shared" si="6"/>
        <v>2706.759178</v>
      </c>
      <c r="K81" s="69">
        <f t="shared" si="7"/>
        <v>2744.745181</v>
      </c>
      <c r="L81" s="69">
        <f t="shared" si="8"/>
        <v>2783.264271</v>
      </c>
      <c r="M81" s="69">
        <f t="shared" si="9"/>
        <v>2822.323927</v>
      </c>
      <c r="N81" s="69">
        <f t="shared" si="10"/>
        <v>2861.931738</v>
      </c>
      <c r="O81" s="69">
        <f t="shared" si="11"/>
        <v>2902.095395</v>
      </c>
      <c r="P81" s="69">
        <f t="shared" si="12"/>
        <v>2942.822699</v>
      </c>
      <c r="Q81" s="69">
        <f t="shared" si="13"/>
        <v>2984.121561</v>
      </c>
      <c r="R81" s="69">
        <f t="shared" si="14"/>
        <v>3026</v>
      </c>
      <c r="S81" s="69">
        <f t="shared" si="15"/>
        <v>3068.466151</v>
      </c>
      <c r="T81" s="69">
        <f t="shared" si="16"/>
        <v>3111.528262</v>
      </c>
      <c r="U81" s="69">
        <f t="shared" si="17"/>
        <v>3155.194697</v>
      </c>
      <c r="V81" s="69">
        <f t="shared" si="18"/>
        <v>3199.473935</v>
      </c>
    </row>
    <row r="82">
      <c r="A82" s="24">
        <v>2.61160601E9</v>
      </c>
      <c r="B82" s="24" t="s">
        <v>119</v>
      </c>
      <c r="C82" s="24">
        <v>1546.0</v>
      </c>
      <c r="D82" s="24">
        <v>1831.0</v>
      </c>
      <c r="E82" s="72">
        <f t="shared" si="1"/>
        <v>1.01419914</v>
      </c>
      <c r="F82" s="69">
        <f t="shared" si="2"/>
        <v>1546</v>
      </c>
      <c r="G82" s="69">
        <f t="shared" si="3"/>
        <v>1567.95187</v>
      </c>
      <c r="H82" s="69">
        <f t="shared" si="4"/>
        <v>1590.215438</v>
      </c>
      <c r="I82" s="69">
        <f t="shared" si="5"/>
        <v>1612.79513</v>
      </c>
      <c r="J82" s="69">
        <f t="shared" si="6"/>
        <v>1635.695433</v>
      </c>
      <c r="K82" s="69">
        <f t="shared" si="7"/>
        <v>1658.920901</v>
      </c>
      <c r="L82" s="69">
        <f t="shared" si="8"/>
        <v>1682.476151</v>
      </c>
      <c r="M82" s="69">
        <f t="shared" si="9"/>
        <v>1706.365866</v>
      </c>
      <c r="N82" s="69">
        <f t="shared" si="10"/>
        <v>1730.594793</v>
      </c>
      <c r="O82" s="69">
        <f t="shared" si="11"/>
        <v>1755.167751</v>
      </c>
      <c r="P82" s="69">
        <f t="shared" si="12"/>
        <v>1780.089623</v>
      </c>
      <c r="Q82" s="69">
        <f t="shared" si="13"/>
        <v>1805.365365</v>
      </c>
      <c r="R82" s="69">
        <f t="shared" si="14"/>
        <v>1831</v>
      </c>
      <c r="S82" s="69">
        <f t="shared" si="15"/>
        <v>1856.998625</v>
      </c>
      <c r="T82" s="69">
        <f t="shared" si="16"/>
        <v>1883.366408</v>
      </c>
      <c r="U82" s="69">
        <f t="shared" si="17"/>
        <v>1910.108591</v>
      </c>
      <c r="V82" s="69">
        <f t="shared" si="18"/>
        <v>1937.23049</v>
      </c>
    </row>
    <row r="83">
      <c r="A83" s="24">
        <v>2.611606027E9</v>
      </c>
      <c r="B83" s="24" t="s">
        <v>120</v>
      </c>
      <c r="C83" s="24">
        <v>20292.0</v>
      </c>
      <c r="D83" s="24">
        <v>24306.0</v>
      </c>
      <c r="E83" s="72">
        <f t="shared" si="1"/>
        <v>1.015155067</v>
      </c>
      <c r="F83" s="69">
        <f t="shared" si="2"/>
        <v>20292</v>
      </c>
      <c r="G83" s="69">
        <f t="shared" si="3"/>
        <v>20599.52662</v>
      </c>
      <c r="H83" s="69">
        <f t="shared" si="4"/>
        <v>20911.71382</v>
      </c>
      <c r="I83" s="69">
        <f t="shared" si="5"/>
        <v>21228.63225</v>
      </c>
      <c r="J83" s="69">
        <f t="shared" si="6"/>
        <v>21550.35359</v>
      </c>
      <c r="K83" s="69">
        <f t="shared" si="7"/>
        <v>21876.95064</v>
      </c>
      <c r="L83" s="69">
        <f t="shared" si="8"/>
        <v>22208.49729</v>
      </c>
      <c r="M83" s="69">
        <f t="shared" si="9"/>
        <v>22545.06856</v>
      </c>
      <c r="N83" s="69">
        <f t="shared" si="10"/>
        <v>22886.74058</v>
      </c>
      <c r="O83" s="69">
        <f t="shared" si="11"/>
        <v>23233.59067</v>
      </c>
      <c r="P83" s="69">
        <f t="shared" si="12"/>
        <v>23585.69729</v>
      </c>
      <c r="Q83" s="69">
        <f t="shared" si="13"/>
        <v>23943.14011</v>
      </c>
      <c r="R83" s="69">
        <f t="shared" si="14"/>
        <v>24306</v>
      </c>
      <c r="S83" s="69">
        <f t="shared" si="15"/>
        <v>24674.35906</v>
      </c>
      <c r="T83" s="69">
        <f t="shared" si="16"/>
        <v>25048.30062</v>
      </c>
      <c r="U83" s="69">
        <f t="shared" si="17"/>
        <v>25427.90929</v>
      </c>
      <c r="V83" s="69">
        <f t="shared" si="18"/>
        <v>25813.27096</v>
      </c>
    </row>
    <row r="84">
      <c r="A84" s="24">
        <v>2.611606057E9</v>
      </c>
      <c r="B84" s="24" t="s">
        <v>121</v>
      </c>
      <c r="C84" s="24">
        <v>4614.0</v>
      </c>
      <c r="D84" s="24">
        <v>5542.0</v>
      </c>
      <c r="E84" s="72">
        <f t="shared" si="1"/>
        <v>1.015388899</v>
      </c>
      <c r="F84" s="69">
        <f t="shared" si="2"/>
        <v>4614</v>
      </c>
      <c r="G84" s="69">
        <f t="shared" si="3"/>
        <v>4685.004379</v>
      </c>
      <c r="H84" s="69">
        <f t="shared" si="4"/>
        <v>4757.101437</v>
      </c>
      <c r="I84" s="69">
        <f t="shared" si="5"/>
        <v>4830.307989</v>
      </c>
      <c r="J84" s="69">
        <f t="shared" si="6"/>
        <v>4904.641109</v>
      </c>
      <c r="K84" s="69">
        <f t="shared" si="7"/>
        <v>4980.118134</v>
      </c>
      <c r="L84" s="69">
        <f t="shared" si="8"/>
        <v>5056.756668</v>
      </c>
      <c r="M84" s="69">
        <f t="shared" si="9"/>
        <v>5134.574584</v>
      </c>
      <c r="N84" s="69">
        <f t="shared" si="10"/>
        <v>5213.590033</v>
      </c>
      <c r="O84" s="69">
        <f t="shared" si="11"/>
        <v>5293.821441</v>
      </c>
      <c r="P84" s="69">
        <f t="shared" si="12"/>
        <v>5375.287523</v>
      </c>
      <c r="Q84" s="69">
        <f t="shared" si="13"/>
        <v>5458.007279</v>
      </c>
      <c r="R84" s="69">
        <f t="shared" si="14"/>
        <v>5542</v>
      </c>
      <c r="S84" s="69">
        <f t="shared" si="15"/>
        <v>5627.285277</v>
      </c>
      <c r="T84" s="69">
        <f t="shared" si="16"/>
        <v>5713.883</v>
      </c>
      <c r="U84" s="69">
        <f t="shared" si="17"/>
        <v>5801.813367</v>
      </c>
      <c r="V84" s="69">
        <f t="shared" si="18"/>
        <v>5891.096885</v>
      </c>
    </row>
    <row r="85">
      <c r="A85" s="24">
        <v>2.611606037E9</v>
      </c>
      <c r="B85" s="24" t="s">
        <v>122</v>
      </c>
      <c r="C85" s="24">
        <v>72.0</v>
      </c>
      <c r="D85" s="24">
        <v>89.0</v>
      </c>
      <c r="E85" s="72">
        <f t="shared" si="1"/>
        <v>1.017821122</v>
      </c>
      <c r="F85" s="69">
        <f t="shared" si="2"/>
        <v>72</v>
      </c>
      <c r="G85" s="69">
        <f t="shared" si="3"/>
        <v>73.28312078</v>
      </c>
      <c r="H85" s="69">
        <f t="shared" si="4"/>
        <v>74.58910822</v>
      </c>
      <c r="I85" s="69">
        <f t="shared" si="5"/>
        <v>75.91836982</v>
      </c>
      <c r="J85" s="69">
        <f t="shared" si="6"/>
        <v>77.27132035</v>
      </c>
      <c r="K85" s="69">
        <f t="shared" si="7"/>
        <v>78.64838197</v>
      </c>
      <c r="L85" s="69">
        <f t="shared" si="8"/>
        <v>80.04998438</v>
      </c>
      <c r="M85" s="69">
        <f t="shared" si="9"/>
        <v>81.47656492</v>
      </c>
      <c r="N85" s="69">
        <f t="shared" si="10"/>
        <v>82.92856873</v>
      </c>
      <c r="O85" s="69">
        <f t="shared" si="11"/>
        <v>84.40644887</v>
      </c>
      <c r="P85" s="69">
        <f t="shared" si="12"/>
        <v>85.91066649</v>
      </c>
      <c r="Q85" s="69">
        <f t="shared" si="13"/>
        <v>87.44169096</v>
      </c>
      <c r="R85" s="69">
        <f t="shared" si="14"/>
        <v>89</v>
      </c>
      <c r="S85" s="69">
        <f t="shared" si="15"/>
        <v>90.58607986</v>
      </c>
      <c r="T85" s="69">
        <f t="shared" si="16"/>
        <v>92.20042544</v>
      </c>
      <c r="U85" s="69">
        <f t="shared" si="17"/>
        <v>93.84354047</v>
      </c>
      <c r="V85" s="69">
        <f t="shared" si="18"/>
        <v>95.51593765</v>
      </c>
    </row>
    <row r="86">
      <c r="A86" s="24">
        <v>2.611606025E9</v>
      </c>
      <c r="B86" s="24" t="s">
        <v>123</v>
      </c>
      <c r="C86" s="24">
        <v>11770.0</v>
      </c>
      <c r="D86" s="24">
        <v>15249.0</v>
      </c>
      <c r="E86" s="72">
        <f t="shared" si="1"/>
        <v>1.021814533</v>
      </c>
      <c r="F86" s="69">
        <f t="shared" si="2"/>
        <v>11770</v>
      </c>
      <c r="G86" s="69">
        <f t="shared" si="3"/>
        <v>12026.75705</v>
      </c>
      <c r="H86" s="69">
        <f t="shared" si="4"/>
        <v>12289.11514</v>
      </c>
      <c r="I86" s="69">
        <f t="shared" si="5"/>
        <v>12557.19644</v>
      </c>
      <c r="J86" s="69">
        <f t="shared" si="6"/>
        <v>12831.12581</v>
      </c>
      <c r="K86" s="69">
        <f t="shared" si="7"/>
        <v>13111.03083</v>
      </c>
      <c r="L86" s="69">
        <f t="shared" si="8"/>
        <v>13397.04184</v>
      </c>
      <c r="M86" s="69">
        <f t="shared" si="9"/>
        <v>13689.29205</v>
      </c>
      <c r="N86" s="69">
        <f t="shared" si="10"/>
        <v>13987.91755</v>
      </c>
      <c r="O86" s="69">
        <f t="shared" si="11"/>
        <v>14293.05744</v>
      </c>
      <c r="P86" s="69">
        <f t="shared" si="12"/>
        <v>14604.85381</v>
      </c>
      <c r="Q86" s="69">
        <f t="shared" si="13"/>
        <v>14923.45187</v>
      </c>
      <c r="R86" s="69">
        <f t="shared" si="14"/>
        <v>15249</v>
      </c>
      <c r="S86" s="69">
        <f t="shared" si="15"/>
        <v>15581.64981</v>
      </c>
      <c r="T86" s="69">
        <f t="shared" si="16"/>
        <v>15921.55622</v>
      </c>
      <c r="U86" s="69">
        <f t="shared" si="17"/>
        <v>16268.87753</v>
      </c>
      <c r="V86" s="69">
        <f t="shared" si="18"/>
        <v>16623.77549</v>
      </c>
    </row>
    <row r="87">
      <c r="A87" s="24">
        <v>2.61160607E9</v>
      </c>
      <c r="B87" s="24" t="s">
        <v>124</v>
      </c>
      <c r="C87" s="24">
        <v>9622.0</v>
      </c>
      <c r="D87" s="24">
        <v>13813.0</v>
      </c>
      <c r="E87" s="72">
        <f t="shared" si="1"/>
        <v>1.030588333</v>
      </c>
      <c r="F87" s="69">
        <f t="shared" si="2"/>
        <v>9622</v>
      </c>
      <c r="G87" s="69">
        <f t="shared" si="3"/>
        <v>9916.32094</v>
      </c>
      <c r="H87" s="69">
        <f t="shared" si="4"/>
        <v>10219.64467</v>
      </c>
      <c r="I87" s="69">
        <f t="shared" si="5"/>
        <v>10532.24656</v>
      </c>
      <c r="J87" s="69">
        <f t="shared" si="6"/>
        <v>10854.41042</v>
      </c>
      <c r="K87" s="69">
        <f t="shared" si="7"/>
        <v>11186.42874</v>
      </c>
      <c r="L87" s="69">
        <f t="shared" si="8"/>
        <v>11528.60295</v>
      </c>
      <c r="M87" s="69">
        <f t="shared" si="9"/>
        <v>11881.2437</v>
      </c>
      <c r="N87" s="69">
        <f t="shared" si="10"/>
        <v>12244.67113</v>
      </c>
      <c r="O87" s="69">
        <f t="shared" si="11"/>
        <v>12619.21521</v>
      </c>
      <c r="P87" s="69">
        <f t="shared" si="12"/>
        <v>13005.21597</v>
      </c>
      <c r="Q87" s="69">
        <f t="shared" si="13"/>
        <v>13403.02384</v>
      </c>
      <c r="R87" s="69">
        <f t="shared" si="14"/>
        <v>13813</v>
      </c>
      <c r="S87" s="69">
        <f t="shared" si="15"/>
        <v>14235.51664</v>
      </c>
      <c r="T87" s="69">
        <f t="shared" si="16"/>
        <v>14670.95737</v>
      </c>
      <c r="U87" s="69">
        <f t="shared" si="17"/>
        <v>15119.71749</v>
      </c>
      <c r="V87" s="69">
        <f t="shared" si="18"/>
        <v>15582.20445</v>
      </c>
    </row>
    <row r="88">
      <c r="A88" s="24">
        <v>2.611606026E9</v>
      </c>
      <c r="B88" s="24" t="s">
        <v>125</v>
      </c>
      <c r="C88" s="24">
        <v>1058.0</v>
      </c>
      <c r="D88" s="24">
        <v>1566.0</v>
      </c>
      <c r="E88" s="72">
        <f t="shared" si="1"/>
        <v>1.033218501</v>
      </c>
      <c r="F88" s="69">
        <f t="shared" si="2"/>
        <v>1058</v>
      </c>
      <c r="G88" s="69">
        <f t="shared" si="3"/>
        <v>1093.145174</v>
      </c>
      <c r="H88" s="69">
        <f t="shared" si="4"/>
        <v>1129.457818</v>
      </c>
      <c r="I88" s="69">
        <f t="shared" si="5"/>
        <v>1166.976714</v>
      </c>
      <c r="J88" s="69">
        <f t="shared" si="6"/>
        <v>1205.741931</v>
      </c>
      <c r="K88" s="69">
        <f t="shared" si="7"/>
        <v>1245.794871</v>
      </c>
      <c r="L88" s="69">
        <f t="shared" si="8"/>
        <v>1287.178309</v>
      </c>
      <c r="M88" s="69">
        <f t="shared" si="9"/>
        <v>1329.936443</v>
      </c>
      <c r="N88" s="69">
        <f t="shared" si="10"/>
        <v>1374.114939</v>
      </c>
      <c r="O88" s="69">
        <f t="shared" si="11"/>
        <v>1419.760977</v>
      </c>
      <c r="P88" s="69">
        <f t="shared" si="12"/>
        <v>1466.923309</v>
      </c>
      <c r="Q88" s="69">
        <f t="shared" si="13"/>
        <v>1515.652302</v>
      </c>
      <c r="R88" s="69">
        <f t="shared" si="14"/>
        <v>1566</v>
      </c>
      <c r="S88" s="69">
        <f t="shared" si="15"/>
        <v>1618.020173</v>
      </c>
      <c r="T88" s="69">
        <f t="shared" si="16"/>
        <v>1671.768378</v>
      </c>
      <c r="U88" s="69">
        <f t="shared" si="17"/>
        <v>1727.302017</v>
      </c>
      <c r="V88" s="69">
        <f t="shared" si="18"/>
        <v>1784.680401</v>
      </c>
    </row>
    <row r="89">
      <c r="A89" s="24">
        <v>2.611606022E9</v>
      </c>
      <c r="B89" s="24" t="s">
        <v>126</v>
      </c>
      <c r="C89" s="24">
        <v>1554.0</v>
      </c>
      <c r="D89" s="24">
        <v>2382.0</v>
      </c>
      <c r="E89" s="72">
        <f t="shared" si="1"/>
        <v>1.036233341</v>
      </c>
      <c r="F89" s="69">
        <f t="shared" si="2"/>
        <v>1554</v>
      </c>
      <c r="G89" s="69">
        <f t="shared" si="3"/>
        <v>1610.306613</v>
      </c>
      <c r="H89" s="69">
        <f t="shared" si="4"/>
        <v>1668.653402</v>
      </c>
      <c r="I89" s="69">
        <f t="shared" si="5"/>
        <v>1729.114291</v>
      </c>
      <c r="J89" s="69">
        <f t="shared" si="6"/>
        <v>1791.765879</v>
      </c>
      <c r="K89" s="69">
        <f t="shared" si="7"/>
        <v>1856.687544</v>
      </c>
      <c r="L89" s="69">
        <f t="shared" si="8"/>
        <v>1923.961538</v>
      </c>
      <c r="M89" s="69">
        <f t="shared" si="9"/>
        <v>1993.673094</v>
      </c>
      <c r="N89" s="69">
        <f t="shared" si="10"/>
        <v>2065.910532</v>
      </c>
      <c r="O89" s="69">
        <f t="shared" si="11"/>
        <v>2140.765373</v>
      </c>
      <c r="P89" s="69">
        <f t="shared" si="12"/>
        <v>2218.332456</v>
      </c>
      <c r="Q89" s="69">
        <f t="shared" si="13"/>
        <v>2298.710054</v>
      </c>
      <c r="R89" s="69">
        <f t="shared" si="14"/>
        <v>2382</v>
      </c>
      <c r="S89" s="69">
        <f t="shared" si="15"/>
        <v>2468.307819</v>
      </c>
      <c r="T89" s="69">
        <f t="shared" si="16"/>
        <v>2557.74286</v>
      </c>
      <c r="U89" s="69">
        <f t="shared" si="17"/>
        <v>2650.41843</v>
      </c>
      <c r="V89" s="69">
        <f t="shared" si="18"/>
        <v>2746.451946</v>
      </c>
    </row>
    <row r="90">
      <c r="A90" s="24">
        <v>2.611606083E9</v>
      </c>
      <c r="B90" s="24" t="s">
        <v>127</v>
      </c>
      <c r="C90" s="24">
        <v>7677.0</v>
      </c>
      <c r="D90" s="24">
        <v>12768.0</v>
      </c>
      <c r="E90" s="72">
        <f t="shared" si="1"/>
        <v>1.043304173</v>
      </c>
      <c r="F90" s="69">
        <f t="shared" si="2"/>
        <v>7677</v>
      </c>
      <c r="G90" s="69">
        <f t="shared" si="3"/>
        <v>8009.446136</v>
      </c>
      <c r="H90" s="69">
        <f t="shared" si="4"/>
        <v>8356.288576</v>
      </c>
      <c r="I90" s="69">
        <f t="shared" si="5"/>
        <v>8718.150742</v>
      </c>
      <c r="J90" s="69">
        <f t="shared" si="6"/>
        <v>9095.68305</v>
      </c>
      <c r="K90" s="69">
        <f t="shared" si="7"/>
        <v>9489.564081</v>
      </c>
      <c r="L90" s="69">
        <f t="shared" si="8"/>
        <v>9900.501805</v>
      </c>
      <c r="M90" s="69">
        <f t="shared" si="9"/>
        <v>10329.23485</v>
      </c>
      <c r="N90" s="69">
        <f t="shared" si="10"/>
        <v>10776.53382</v>
      </c>
      <c r="O90" s="69">
        <f t="shared" si="11"/>
        <v>11243.2027</v>
      </c>
      <c r="P90" s="69">
        <f t="shared" si="12"/>
        <v>11730.0803</v>
      </c>
      <c r="Q90" s="69">
        <f t="shared" si="13"/>
        <v>12238.04172</v>
      </c>
      <c r="R90" s="69">
        <f t="shared" si="14"/>
        <v>12768</v>
      </c>
      <c r="S90" s="69">
        <f t="shared" si="15"/>
        <v>13320.90768</v>
      </c>
      <c r="T90" s="69">
        <f t="shared" si="16"/>
        <v>13897.75857</v>
      </c>
      <c r="U90" s="69">
        <f t="shared" si="17"/>
        <v>14499.58951</v>
      </c>
      <c r="V90" s="69">
        <f t="shared" si="18"/>
        <v>15127.48224</v>
      </c>
    </row>
    <row r="91">
      <c r="A91" s="24">
        <v>2.611606038E9</v>
      </c>
      <c r="B91" s="24" t="s">
        <v>128</v>
      </c>
      <c r="C91" s="24">
        <v>6287.0</v>
      </c>
      <c r="D91" s="24">
        <v>11095.0</v>
      </c>
      <c r="E91" s="72">
        <f t="shared" si="1"/>
        <v>1.048472363</v>
      </c>
      <c r="F91" s="69">
        <f t="shared" si="2"/>
        <v>6287</v>
      </c>
      <c r="G91" s="69">
        <f t="shared" si="3"/>
        <v>6591.745745</v>
      </c>
      <c r="H91" s="69">
        <f t="shared" si="4"/>
        <v>6911.263237</v>
      </c>
      <c r="I91" s="69">
        <f t="shared" si="5"/>
        <v>7246.268496</v>
      </c>
      <c r="J91" s="69">
        <f t="shared" si="6"/>
        <v>7597.512252</v>
      </c>
      <c r="K91" s="69">
        <f t="shared" si="7"/>
        <v>7965.781622</v>
      </c>
      <c r="L91" s="69">
        <f t="shared" si="8"/>
        <v>8351.901879</v>
      </c>
      <c r="M91" s="69">
        <f t="shared" si="9"/>
        <v>8756.738297</v>
      </c>
      <c r="N91" s="69">
        <f t="shared" si="10"/>
        <v>9181.198093</v>
      </c>
      <c r="O91" s="69">
        <f t="shared" si="11"/>
        <v>9626.232459</v>
      </c>
      <c r="P91" s="69">
        <f t="shared" si="12"/>
        <v>10092.83869</v>
      </c>
      <c r="Q91" s="69">
        <f t="shared" si="13"/>
        <v>10582.06243</v>
      </c>
      <c r="R91" s="69">
        <f t="shared" si="14"/>
        <v>11095</v>
      </c>
      <c r="S91" s="69">
        <f t="shared" si="15"/>
        <v>11632.80087</v>
      </c>
      <c r="T91" s="69">
        <f t="shared" si="16"/>
        <v>12196.67021</v>
      </c>
      <c r="U91" s="69">
        <f t="shared" si="17"/>
        <v>12787.87163</v>
      </c>
      <c r="V91" s="69">
        <f t="shared" si="18"/>
        <v>13407.72999</v>
      </c>
    </row>
    <row r="92">
      <c r="A92" s="24">
        <v>2.611606017E9</v>
      </c>
      <c r="B92" s="24" t="s">
        <v>129</v>
      </c>
      <c r="C92" s="24">
        <v>4075.0</v>
      </c>
      <c r="D92" s="24">
        <v>7271.0</v>
      </c>
      <c r="E92" s="72">
        <f t="shared" si="1"/>
        <v>1.049435</v>
      </c>
      <c r="F92" s="69">
        <f t="shared" si="2"/>
        <v>4075</v>
      </c>
      <c r="G92" s="69">
        <f t="shared" si="3"/>
        <v>4276.447624</v>
      </c>
      <c r="H92" s="69">
        <f t="shared" si="4"/>
        <v>4487.853812</v>
      </c>
      <c r="I92" s="69">
        <f t="shared" si="5"/>
        <v>4709.710864</v>
      </c>
      <c r="J92" s="69">
        <f t="shared" si="6"/>
        <v>4942.53542</v>
      </c>
      <c r="K92" s="69">
        <f t="shared" si="7"/>
        <v>5186.869657</v>
      </c>
      <c r="L92" s="69">
        <f t="shared" si="8"/>
        <v>5443.282557</v>
      </c>
      <c r="M92" s="69">
        <f t="shared" si="9"/>
        <v>5712.37123</v>
      </c>
      <c r="N92" s="69">
        <f t="shared" si="10"/>
        <v>5994.7623</v>
      </c>
      <c r="O92" s="69">
        <f t="shared" si="11"/>
        <v>6291.113373</v>
      </c>
      <c r="P92" s="69">
        <f t="shared" si="12"/>
        <v>6602.114562</v>
      </c>
      <c r="Q92" s="69">
        <f t="shared" si="13"/>
        <v>6928.490094</v>
      </c>
      <c r="R92" s="69">
        <f t="shared" si="14"/>
        <v>7271</v>
      </c>
      <c r="S92" s="69">
        <f t="shared" si="15"/>
        <v>7630.441884</v>
      </c>
      <c r="T92" s="69">
        <f t="shared" si="16"/>
        <v>8007.652777</v>
      </c>
      <c r="U92" s="69">
        <f t="shared" si="17"/>
        <v>8403.51109</v>
      </c>
      <c r="V92" s="69">
        <f t="shared" si="18"/>
        <v>8818.938659</v>
      </c>
    </row>
    <row r="93">
      <c r="A93" s="24">
        <v>2.611606005E9</v>
      </c>
      <c r="B93" s="24" t="s">
        <v>130</v>
      </c>
      <c r="C93" s="24">
        <v>246.0</v>
      </c>
      <c r="D93" s="24">
        <v>447.0</v>
      </c>
      <c r="E93" s="72">
        <f t="shared" si="1"/>
        <v>1.051028198</v>
      </c>
      <c r="F93" s="69">
        <f t="shared" si="2"/>
        <v>246</v>
      </c>
      <c r="G93" s="69">
        <f t="shared" si="3"/>
        <v>258.5529368</v>
      </c>
      <c r="H93" s="69">
        <f t="shared" si="4"/>
        <v>271.7464273</v>
      </c>
      <c r="I93" s="69">
        <f t="shared" si="5"/>
        <v>285.6131579</v>
      </c>
      <c r="J93" s="69">
        <f t="shared" si="6"/>
        <v>300.1874828</v>
      </c>
      <c r="K93" s="69">
        <f t="shared" si="7"/>
        <v>315.5055092</v>
      </c>
      <c r="L93" s="69">
        <f t="shared" si="8"/>
        <v>331.6051869</v>
      </c>
      <c r="M93" s="69">
        <f t="shared" si="9"/>
        <v>348.5264022</v>
      </c>
      <c r="N93" s="69">
        <f t="shared" si="10"/>
        <v>366.3110766</v>
      </c>
      <c r="O93" s="69">
        <f t="shared" si="11"/>
        <v>385.0032708</v>
      </c>
      <c r="P93" s="69">
        <f t="shared" si="12"/>
        <v>404.6492941</v>
      </c>
      <c r="Q93" s="69">
        <f t="shared" si="13"/>
        <v>425.2978186</v>
      </c>
      <c r="R93" s="69">
        <f t="shared" si="14"/>
        <v>447</v>
      </c>
      <c r="S93" s="69">
        <f t="shared" si="15"/>
        <v>469.8096047</v>
      </c>
      <c r="T93" s="69">
        <f t="shared" si="16"/>
        <v>493.7831424</v>
      </c>
      <c r="U93" s="69">
        <f t="shared" si="17"/>
        <v>518.9800065</v>
      </c>
      <c r="V93" s="69">
        <f t="shared" si="18"/>
        <v>545.4626212</v>
      </c>
    </row>
    <row r="94">
      <c r="A94" s="24">
        <v>2.611606074E9</v>
      </c>
      <c r="B94" s="24" t="s">
        <v>131</v>
      </c>
      <c r="C94" s="24">
        <v>766.0</v>
      </c>
      <c r="D94" s="24">
        <v>1819.0</v>
      </c>
      <c r="E94" s="72">
        <f t="shared" si="1"/>
        <v>1.074732365</v>
      </c>
      <c r="F94" s="69">
        <f t="shared" si="2"/>
        <v>766</v>
      </c>
      <c r="G94" s="69">
        <f t="shared" si="3"/>
        <v>823.2449913</v>
      </c>
      <c r="H94" s="69">
        <f t="shared" si="4"/>
        <v>884.7680361</v>
      </c>
      <c r="I94" s="69">
        <f t="shared" si="5"/>
        <v>950.8888435</v>
      </c>
      <c r="J94" s="69">
        <f t="shared" si="6"/>
        <v>1021.951015</v>
      </c>
      <c r="K94" s="69">
        <f t="shared" si="7"/>
        <v>1098.323831</v>
      </c>
      <c r="L94" s="69">
        <f t="shared" si="8"/>
        <v>1180.404168</v>
      </c>
      <c r="M94" s="69">
        <f t="shared" si="9"/>
        <v>1268.618563</v>
      </c>
      <c r="N94" s="69">
        <f t="shared" si="10"/>
        <v>1363.425428</v>
      </c>
      <c r="O94" s="69">
        <f t="shared" si="11"/>
        <v>1465.317434</v>
      </c>
      <c r="P94" s="69">
        <f t="shared" si="12"/>
        <v>1574.82407</v>
      </c>
      <c r="Q94" s="69">
        <f t="shared" si="13"/>
        <v>1692.514397</v>
      </c>
      <c r="R94" s="69">
        <f t="shared" si="14"/>
        <v>1819</v>
      </c>
      <c r="S94" s="69">
        <f t="shared" si="15"/>
        <v>1954.938171</v>
      </c>
      <c r="T94" s="69">
        <f t="shared" si="16"/>
        <v>2101.035323</v>
      </c>
      <c r="U94" s="69">
        <f t="shared" si="17"/>
        <v>2258.050661</v>
      </c>
      <c r="V94" s="69">
        <f t="shared" si="18"/>
        <v>2426.800126</v>
      </c>
    </row>
    <row r="95">
      <c r="A95" s="24">
        <v>2.611606001E9</v>
      </c>
      <c r="B95" s="24" t="s">
        <v>132</v>
      </c>
      <c r="C95" s="73">
        <v>0.0</v>
      </c>
      <c r="D95" s="24">
        <v>541.0</v>
      </c>
      <c r="E95" s="74">
        <v>1.0</v>
      </c>
      <c r="F95" s="69">
        <f t="shared" si="2"/>
        <v>0</v>
      </c>
      <c r="G95" s="75">
        <f t="shared" si="3"/>
        <v>0</v>
      </c>
      <c r="H95" s="75">
        <f t="shared" si="4"/>
        <v>0</v>
      </c>
      <c r="I95" s="75">
        <f t="shared" si="5"/>
        <v>0</v>
      </c>
      <c r="J95" s="75">
        <f t="shared" si="6"/>
        <v>0</v>
      </c>
      <c r="K95" s="75">
        <f t="shared" si="7"/>
        <v>0</v>
      </c>
      <c r="L95" s="75">
        <f t="shared" si="8"/>
        <v>0</v>
      </c>
      <c r="M95" s="75">
        <f t="shared" si="9"/>
        <v>0</v>
      </c>
      <c r="N95" s="75">
        <f t="shared" si="10"/>
        <v>0</v>
      </c>
      <c r="O95" s="75">
        <f t="shared" si="11"/>
        <v>0</v>
      </c>
      <c r="P95" s="75">
        <f t="shared" si="12"/>
        <v>0</v>
      </c>
      <c r="Q95" s="75">
        <f t="shared" si="13"/>
        <v>0</v>
      </c>
      <c r="R95" s="76">
        <v>541.0</v>
      </c>
      <c r="S95" s="75">
        <f>R95*E95^($S$1-2010)</f>
        <v>541</v>
      </c>
      <c r="T95" s="76">
        <v>541.0</v>
      </c>
      <c r="U95" s="76">
        <v>541.0</v>
      </c>
      <c r="V95" s="76">
        <v>541.0</v>
      </c>
    </row>
    <row r="96">
      <c r="C96" s="6">
        <f t="shared" ref="C96:E96" si="19">SUM(C2:C95)</f>
        <v>1527510</v>
      </c>
      <c r="D96" s="6">
        <f t="shared" si="19"/>
        <v>1488920</v>
      </c>
      <c r="E96" s="72">
        <f t="shared" si="19"/>
        <v>93.96454514</v>
      </c>
      <c r="F96" s="69">
        <f t="shared" si="2"/>
        <v>1527510</v>
      </c>
      <c r="G96" s="69">
        <f t="shared" ref="G96:V96" si="20">SUM(G2:G95)</f>
        <v>1523232.544</v>
      </c>
      <c r="H96" s="69">
        <f t="shared" si="20"/>
        <v>1519134.011</v>
      </c>
      <c r="I96" s="69">
        <f t="shared" si="20"/>
        <v>1515215.778</v>
      </c>
      <c r="J96" s="69">
        <f t="shared" si="20"/>
        <v>1511479.388</v>
      </c>
      <c r="K96" s="69">
        <f t="shared" si="20"/>
        <v>1507926.556</v>
      </c>
      <c r="L96" s="69">
        <f t="shared" si="20"/>
        <v>1504559.172</v>
      </c>
      <c r="M96" s="69">
        <f t="shared" si="20"/>
        <v>1501379.309</v>
      </c>
      <c r="N96" s="69">
        <f t="shared" si="20"/>
        <v>1498389.229</v>
      </c>
      <c r="O96" s="69">
        <f t="shared" si="20"/>
        <v>1495591.39</v>
      </c>
      <c r="P96" s="69">
        <f t="shared" si="20"/>
        <v>1492988.453</v>
      </c>
      <c r="Q96" s="69">
        <f t="shared" si="20"/>
        <v>1490583.292</v>
      </c>
      <c r="R96" s="69">
        <f t="shared" si="20"/>
        <v>1488920</v>
      </c>
      <c r="S96" s="69">
        <f t="shared" si="20"/>
        <v>1486919.898</v>
      </c>
      <c r="T96" s="69">
        <f t="shared" si="20"/>
        <v>1485127.546</v>
      </c>
      <c r="U96" s="69">
        <f t="shared" si="20"/>
        <v>1483546.754</v>
      </c>
      <c r="V96" s="69">
        <f t="shared" si="20"/>
        <v>1482181.589</v>
      </c>
    </row>
    <row r="97">
      <c r="D97" s="4"/>
      <c r="F97" s="6"/>
      <c r="G97" s="6"/>
    </row>
    <row r="98">
      <c r="D98" s="6"/>
      <c r="F98" s="6"/>
      <c r="G98" s="6"/>
    </row>
    <row r="99">
      <c r="D99" s="6"/>
      <c r="F99" s="6"/>
      <c r="G99" s="6"/>
    </row>
    <row r="100">
      <c r="D100" s="6"/>
      <c r="F100" s="6"/>
      <c r="G100" s="6"/>
    </row>
    <row r="101">
      <c r="D101" s="6"/>
      <c r="F101" s="6"/>
      <c r="G101" s="6"/>
    </row>
    <row r="102">
      <c r="D102" s="6"/>
      <c r="F102" s="6"/>
      <c r="G102" s="6"/>
    </row>
    <row r="103">
      <c r="D103" s="6"/>
      <c r="F103" s="6"/>
      <c r="G103" s="6"/>
    </row>
    <row r="104">
      <c r="D104" s="6"/>
      <c r="F104" s="6"/>
      <c r="G104" s="6"/>
    </row>
    <row r="105">
      <c r="D105" s="6"/>
      <c r="F105" s="6"/>
      <c r="G105" s="6"/>
    </row>
    <row r="106">
      <c r="D106" s="6"/>
      <c r="F106" s="6"/>
      <c r="G106" s="6"/>
    </row>
    <row r="107">
      <c r="D107" s="6"/>
      <c r="F107" s="6"/>
      <c r="G107" s="6"/>
    </row>
    <row r="108">
      <c r="D108" s="6"/>
      <c r="F108" s="6"/>
      <c r="G108" s="6"/>
    </row>
    <row r="109">
      <c r="D109" s="6"/>
      <c r="F109" s="6"/>
      <c r="G109" s="6"/>
    </row>
    <row r="110">
      <c r="D110" s="6"/>
      <c r="F110" s="6"/>
      <c r="G110" s="6"/>
    </row>
    <row r="111">
      <c r="D111" s="6"/>
      <c r="F111" s="6"/>
      <c r="G111" s="6"/>
    </row>
    <row r="112">
      <c r="D112" s="6"/>
      <c r="F112" s="6"/>
      <c r="G112" s="6"/>
    </row>
    <row r="113">
      <c r="D113" s="6"/>
      <c r="F113" s="6"/>
      <c r="G113" s="6"/>
    </row>
    <row r="114">
      <c r="D114" s="6"/>
      <c r="F114" s="6"/>
      <c r="G114" s="6"/>
    </row>
    <row r="115">
      <c r="D115" s="6"/>
      <c r="F115" s="6"/>
      <c r="G115" s="6"/>
    </row>
    <row r="116">
      <c r="D116" s="6"/>
      <c r="F116" s="6"/>
      <c r="G116" s="6"/>
    </row>
    <row r="117">
      <c r="D117" s="6"/>
      <c r="F117" s="6"/>
      <c r="G117" s="6"/>
    </row>
    <row r="118">
      <c r="D118" s="6"/>
      <c r="F118" s="6"/>
      <c r="G118" s="6"/>
    </row>
    <row r="119">
      <c r="D119" s="6"/>
      <c r="F119" s="6"/>
      <c r="G119" s="6"/>
    </row>
    <row r="120">
      <c r="D120" s="6"/>
      <c r="F120" s="6"/>
      <c r="G120" s="6"/>
    </row>
    <row r="121">
      <c r="D121" s="6"/>
      <c r="F121" s="6"/>
      <c r="G121" s="6"/>
    </row>
    <row r="122">
      <c r="D122" s="6"/>
      <c r="F122" s="6"/>
      <c r="G122" s="6"/>
    </row>
    <row r="123">
      <c r="D123" s="6"/>
      <c r="F123" s="6"/>
      <c r="G123" s="6"/>
    </row>
    <row r="124">
      <c r="D124" s="6"/>
      <c r="F124" s="6"/>
      <c r="G124" s="6"/>
    </row>
    <row r="125">
      <c r="D125" s="6"/>
      <c r="F125" s="6"/>
      <c r="G125" s="6"/>
    </row>
    <row r="126">
      <c r="D126" s="6"/>
      <c r="F126" s="6"/>
      <c r="G126" s="6"/>
    </row>
    <row r="127">
      <c r="D127" s="6"/>
      <c r="F127" s="6"/>
      <c r="G127" s="6"/>
    </row>
    <row r="128">
      <c r="D128" s="6"/>
      <c r="F128" s="6"/>
      <c r="G128" s="6"/>
    </row>
    <row r="129">
      <c r="D129" s="6"/>
      <c r="F129" s="6"/>
      <c r="G129" s="6"/>
    </row>
    <row r="130">
      <c r="D130" s="6"/>
      <c r="F130" s="6"/>
      <c r="G130" s="6"/>
    </row>
    <row r="131">
      <c r="D131" s="6"/>
      <c r="F131" s="6"/>
      <c r="G131" s="6"/>
    </row>
    <row r="132">
      <c r="D132" s="6"/>
      <c r="F132" s="6"/>
      <c r="G132" s="6"/>
    </row>
    <row r="133">
      <c r="D133" s="6"/>
      <c r="F133" s="6"/>
      <c r="G133" s="6"/>
    </row>
    <row r="134">
      <c r="D134" s="6"/>
      <c r="F134" s="6"/>
      <c r="G134" s="6"/>
    </row>
    <row r="135">
      <c r="D135" s="6"/>
      <c r="F135" s="6"/>
      <c r="G135" s="6"/>
    </row>
    <row r="136">
      <c r="D136" s="6"/>
      <c r="F136" s="6"/>
      <c r="G136" s="6"/>
    </row>
    <row r="137">
      <c r="D137" s="6"/>
      <c r="F137" s="6"/>
      <c r="G137" s="6"/>
    </row>
    <row r="138">
      <c r="D138" s="6"/>
      <c r="F138" s="6"/>
      <c r="G138" s="6"/>
    </row>
    <row r="139">
      <c r="D139" s="6"/>
      <c r="F139" s="6"/>
      <c r="G139" s="6"/>
    </row>
    <row r="140">
      <c r="D140" s="6"/>
      <c r="F140" s="6"/>
      <c r="G140" s="6"/>
    </row>
    <row r="141">
      <c r="D141" s="6"/>
      <c r="F141" s="6"/>
      <c r="G141" s="6"/>
    </row>
    <row r="142">
      <c r="D142" s="6"/>
      <c r="F142" s="6"/>
      <c r="G142" s="6"/>
    </row>
    <row r="143">
      <c r="D143" s="6"/>
      <c r="F143" s="6"/>
      <c r="G143" s="6"/>
    </row>
    <row r="144">
      <c r="D144" s="6"/>
      <c r="F144" s="6"/>
      <c r="G144" s="6"/>
    </row>
    <row r="145">
      <c r="D145" s="6"/>
      <c r="F145" s="6"/>
      <c r="G145" s="6"/>
    </row>
    <row r="146">
      <c r="D146" s="6"/>
      <c r="F146" s="6"/>
      <c r="G146" s="6"/>
    </row>
    <row r="147">
      <c r="D147" s="6"/>
      <c r="F147" s="6"/>
      <c r="G147" s="6"/>
    </row>
    <row r="148">
      <c r="D148" s="6"/>
      <c r="F148" s="6"/>
      <c r="G148" s="6"/>
    </row>
    <row r="149">
      <c r="D149" s="6"/>
      <c r="F149" s="6"/>
      <c r="G149" s="6"/>
    </row>
    <row r="150">
      <c r="D150" s="6"/>
      <c r="F150" s="6"/>
      <c r="G150" s="6"/>
    </row>
    <row r="151">
      <c r="D151" s="6"/>
      <c r="F151" s="6"/>
      <c r="G151" s="6"/>
    </row>
    <row r="152">
      <c r="D152" s="6"/>
      <c r="F152" s="6"/>
      <c r="G152" s="6"/>
    </row>
    <row r="153">
      <c r="D153" s="6"/>
      <c r="F153" s="6"/>
      <c r="G153" s="6"/>
    </row>
    <row r="154">
      <c r="D154" s="6"/>
      <c r="F154" s="6"/>
      <c r="G154" s="6"/>
    </row>
    <row r="155">
      <c r="D155" s="6"/>
      <c r="F155" s="6"/>
      <c r="G155" s="6"/>
    </row>
    <row r="156">
      <c r="D156" s="6"/>
      <c r="F156" s="6"/>
      <c r="G156" s="6"/>
    </row>
    <row r="157">
      <c r="D157" s="6"/>
      <c r="F157" s="6"/>
      <c r="G157" s="6"/>
    </row>
    <row r="158">
      <c r="D158" s="6"/>
      <c r="F158" s="6"/>
      <c r="G158" s="6"/>
    </row>
    <row r="159">
      <c r="D159" s="6"/>
      <c r="F159" s="6"/>
      <c r="G159" s="6"/>
    </row>
    <row r="160">
      <c r="D160" s="6"/>
      <c r="F160" s="6"/>
      <c r="G160" s="6"/>
    </row>
    <row r="161">
      <c r="D161" s="6"/>
      <c r="F161" s="6"/>
      <c r="G161" s="6"/>
    </row>
    <row r="162">
      <c r="D162" s="6"/>
      <c r="F162" s="6"/>
      <c r="G162" s="6"/>
    </row>
    <row r="163">
      <c r="D163" s="6"/>
      <c r="F163" s="6"/>
      <c r="G163" s="6"/>
    </row>
    <row r="164">
      <c r="D164" s="6"/>
      <c r="F164" s="6"/>
      <c r="G164" s="6"/>
    </row>
    <row r="165">
      <c r="D165" s="6"/>
      <c r="F165" s="6"/>
      <c r="G165" s="6"/>
    </row>
    <row r="166">
      <c r="D166" s="6"/>
      <c r="F166" s="6"/>
      <c r="G166" s="6"/>
    </row>
    <row r="167">
      <c r="D167" s="6"/>
      <c r="F167" s="6"/>
      <c r="G167" s="6"/>
    </row>
    <row r="168">
      <c r="D168" s="6"/>
      <c r="F168" s="6"/>
      <c r="G168" s="6"/>
    </row>
    <row r="169">
      <c r="D169" s="6"/>
      <c r="F169" s="6"/>
      <c r="G169" s="6"/>
    </row>
    <row r="170">
      <c r="D170" s="6"/>
      <c r="F170" s="6"/>
      <c r="G170" s="6"/>
    </row>
    <row r="171">
      <c r="D171" s="6"/>
      <c r="F171" s="6"/>
      <c r="G171" s="6"/>
    </row>
    <row r="172">
      <c r="D172" s="6"/>
      <c r="F172" s="6"/>
      <c r="G172" s="6"/>
    </row>
    <row r="173">
      <c r="D173" s="6"/>
      <c r="F173" s="6"/>
      <c r="G173" s="6"/>
    </row>
    <row r="174">
      <c r="D174" s="6"/>
      <c r="F174" s="6"/>
      <c r="G174" s="6"/>
    </row>
    <row r="175">
      <c r="D175" s="6"/>
      <c r="F175" s="6"/>
      <c r="G175" s="6"/>
    </row>
    <row r="176">
      <c r="D176" s="6"/>
      <c r="F176" s="6"/>
      <c r="G176" s="6"/>
    </row>
    <row r="177">
      <c r="D177" s="6"/>
      <c r="F177" s="6"/>
      <c r="G177" s="6"/>
    </row>
    <row r="178">
      <c r="D178" s="6"/>
      <c r="F178" s="6"/>
      <c r="G178" s="6"/>
    </row>
    <row r="179">
      <c r="D179" s="6"/>
      <c r="F179" s="6"/>
      <c r="G179" s="6"/>
    </row>
    <row r="180">
      <c r="D180" s="6"/>
      <c r="F180" s="6"/>
      <c r="G180" s="6"/>
    </row>
    <row r="181">
      <c r="D181" s="6"/>
      <c r="F181" s="6"/>
      <c r="G181" s="6"/>
    </row>
    <row r="182">
      <c r="D182" s="6"/>
      <c r="F182" s="6"/>
      <c r="G182" s="6"/>
    </row>
    <row r="183">
      <c r="D183" s="6"/>
      <c r="F183" s="6"/>
      <c r="G183" s="6"/>
    </row>
    <row r="184">
      <c r="D184" s="6"/>
      <c r="F184" s="6"/>
      <c r="G184" s="6"/>
    </row>
    <row r="185">
      <c r="D185" s="6"/>
      <c r="F185" s="6"/>
      <c r="G185" s="6"/>
    </row>
    <row r="186">
      <c r="D186" s="6"/>
      <c r="F186" s="6"/>
      <c r="G186" s="6"/>
    </row>
    <row r="187">
      <c r="D187" s="6"/>
      <c r="F187" s="6"/>
      <c r="G187" s="6"/>
    </row>
    <row r="188">
      <c r="D188" s="6"/>
      <c r="F188" s="6"/>
      <c r="G188" s="6"/>
    </row>
    <row r="189">
      <c r="D189" s="6"/>
      <c r="F189" s="6"/>
      <c r="G189" s="6"/>
    </row>
    <row r="190">
      <c r="D190" s="6"/>
      <c r="F190" s="6"/>
      <c r="G190" s="6"/>
    </row>
    <row r="191">
      <c r="D191" s="6"/>
      <c r="F191" s="6"/>
      <c r="G191" s="6"/>
    </row>
    <row r="192">
      <c r="D192" s="6"/>
      <c r="F192" s="6"/>
      <c r="G192" s="6"/>
    </row>
    <row r="193">
      <c r="D193" s="6"/>
      <c r="F193" s="6"/>
      <c r="G193" s="6"/>
    </row>
    <row r="194">
      <c r="D194" s="6"/>
      <c r="F194" s="6"/>
      <c r="G194" s="6"/>
    </row>
    <row r="195">
      <c r="D195" s="6"/>
      <c r="F195" s="6"/>
      <c r="G195" s="6"/>
    </row>
    <row r="196">
      <c r="D196" s="6"/>
      <c r="F196" s="6"/>
      <c r="G196" s="6"/>
    </row>
    <row r="197">
      <c r="D197" s="6"/>
      <c r="F197" s="6"/>
      <c r="G197" s="6"/>
    </row>
    <row r="198">
      <c r="D198" s="6"/>
      <c r="F198" s="6"/>
      <c r="G198" s="6"/>
    </row>
    <row r="199">
      <c r="D199" s="6"/>
      <c r="F199" s="6"/>
      <c r="G199" s="6"/>
    </row>
    <row r="200">
      <c r="D200" s="6"/>
      <c r="F200" s="6"/>
      <c r="G200" s="6"/>
    </row>
    <row r="201">
      <c r="D201" s="6"/>
      <c r="F201" s="6"/>
      <c r="G201" s="6"/>
    </row>
    <row r="202">
      <c r="D202" s="6"/>
      <c r="F202" s="6"/>
      <c r="G202" s="6"/>
    </row>
    <row r="203">
      <c r="D203" s="6"/>
      <c r="F203" s="6"/>
      <c r="G203" s="6"/>
    </row>
    <row r="204">
      <c r="D204" s="6"/>
      <c r="F204" s="6"/>
      <c r="G204" s="6"/>
    </row>
    <row r="205">
      <c r="D205" s="6"/>
      <c r="F205" s="6"/>
      <c r="G205" s="6"/>
    </row>
    <row r="206">
      <c r="D206" s="6"/>
      <c r="F206" s="6"/>
      <c r="G206" s="6"/>
    </row>
    <row r="207">
      <c r="D207" s="6"/>
      <c r="F207" s="6"/>
      <c r="G207" s="6"/>
    </row>
    <row r="208">
      <c r="D208" s="6"/>
      <c r="F208" s="6"/>
      <c r="G208" s="6"/>
    </row>
    <row r="209">
      <c r="D209" s="6"/>
      <c r="F209" s="6"/>
      <c r="G209" s="6"/>
    </row>
    <row r="210">
      <c r="D210" s="6"/>
      <c r="F210" s="6"/>
      <c r="G210" s="6"/>
    </row>
    <row r="211">
      <c r="D211" s="6"/>
      <c r="F211" s="6"/>
      <c r="G211" s="6"/>
    </row>
    <row r="212">
      <c r="D212" s="6"/>
      <c r="F212" s="6"/>
      <c r="G212" s="6"/>
    </row>
    <row r="213">
      <c r="D213" s="6"/>
      <c r="F213" s="6"/>
      <c r="G213" s="6"/>
    </row>
    <row r="214">
      <c r="D214" s="6"/>
      <c r="F214" s="6"/>
      <c r="G214" s="6"/>
    </row>
    <row r="215">
      <c r="D215" s="6"/>
      <c r="F215" s="6"/>
      <c r="G215" s="6"/>
    </row>
    <row r="216">
      <c r="D216" s="6"/>
      <c r="F216" s="6"/>
      <c r="G216" s="6"/>
    </row>
    <row r="217">
      <c r="D217" s="6"/>
      <c r="F217" s="6"/>
      <c r="G217" s="6"/>
    </row>
    <row r="218">
      <c r="D218" s="6"/>
      <c r="F218" s="6"/>
      <c r="G218" s="6"/>
    </row>
    <row r="219">
      <c r="D219" s="6"/>
      <c r="F219" s="6"/>
      <c r="G219" s="6"/>
    </row>
    <row r="220">
      <c r="D220" s="6"/>
      <c r="F220" s="6"/>
      <c r="G220" s="6"/>
    </row>
    <row r="221">
      <c r="D221" s="6"/>
      <c r="F221" s="6"/>
      <c r="G221" s="6"/>
    </row>
    <row r="222">
      <c r="D222" s="6"/>
      <c r="F222" s="6"/>
      <c r="G222" s="6"/>
    </row>
    <row r="223">
      <c r="D223" s="6"/>
      <c r="F223" s="6"/>
      <c r="G223" s="6"/>
    </row>
    <row r="224">
      <c r="D224" s="6"/>
      <c r="F224" s="6"/>
      <c r="G224" s="6"/>
    </row>
    <row r="225">
      <c r="D225" s="6"/>
      <c r="F225" s="6"/>
      <c r="G225" s="6"/>
    </row>
    <row r="226">
      <c r="D226" s="6"/>
      <c r="F226" s="6"/>
      <c r="G226" s="6"/>
    </row>
    <row r="227">
      <c r="D227" s="6"/>
      <c r="F227" s="6"/>
      <c r="G227" s="6"/>
    </row>
    <row r="228">
      <c r="D228" s="6"/>
      <c r="F228" s="6"/>
      <c r="G228" s="6"/>
    </row>
    <row r="229">
      <c r="D229" s="6"/>
      <c r="F229" s="6"/>
      <c r="G229" s="6"/>
    </row>
    <row r="230">
      <c r="D230" s="6"/>
      <c r="F230" s="6"/>
      <c r="G230" s="6"/>
    </row>
    <row r="231">
      <c r="D231" s="6"/>
      <c r="F231" s="6"/>
      <c r="G231" s="6"/>
    </row>
    <row r="232">
      <c r="D232" s="6"/>
      <c r="F232" s="6"/>
      <c r="G232" s="6"/>
    </row>
    <row r="233">
      <c r="D233" s="6"/>
      <c r="F233" s="6"/>
      <c r="G233" s="6"/>
    </row>
    <row r="234">
      <c r="D234" s="6"/>
      <c r="F234" s="6"/>
      <c r="G234" s="6"/>
    </row>
    <row r="235">
      <c r="D235" s="6"/>
      <c r="F235" s="6"/>
      <c r="G235" s="6"/>
    </row>
    <row r="236">
      <c r="D236" s="6"/>
      <c r="F236" s="6"/>
      <c r="G236" s="6"/>
    </row>
    <row r="237">
      <c r="D237" s="6"/>
      <c r="F237" s="6"/>
      <c r="G237" s="6"/>
    </row>
    <row r="238">
      <c r="D238" s="6"/>
      <c r="F238" s="6"/>
      <c r="G238" s="6"/>
    </row>
    <row r="239">
      <c r="D239" s="6"/>
      <c r="F239" s="6"/>
      <c r="G239" s="6"/>
    </row>
    <row r="240">
      <c r="D240" s="6"/>
      <c r="F240" s="6"/>
      <c r="G240" s="6"/>
    </row>
    <row r="241">
      <c r="D241" s="6"/>
      <c r="F241" s="6"/>
      <c r="G241" s="6"/>
    </row>
    <row r="242">
      <c r="D242" s="6"/>
      <c r="F242" s="6"/>
      <c r="G242" s="6"/>
    </row>
    <row r="243">
      <c r="D243" s="6"/>
      <c r="F243" s="6"/>
      <c r="G243" s="6"/>
    </row>
    <row r="244">
      <c r="D244" s="6"/>
      <c r="F244" s="6"/>
      <c r="G244" s="6"/>
    </row>
    <row r="245">
      <c r="D245" s="6"/>
      <c r="F245" s="6"/>
      <c r="G245" s="6"/>
    </row>
    <row r="246">
      <c r="D246" s="6"/>
      <c r="F246" s="6"/>
      <c r="G246" s="6"/>
    </row>
    <row r="247">
      <c r="D247" s="6"/>
      <c r="F247" s="6"/>
      <c r="G247" s="6"/>
    </row>
    <row r="248">
      <c r="D248" s="6"/>
      <c r="F248" s="6"/>
      <c r="G248" s="6"/>
    </row>
    <row r="249">
      <c r="D249" s="6"/>
      <c r="F249" s="6"/>
      <c r="G249" s="6"/>
    </row>
    <row r="250">
      <c r="D250" s="6"/>
      <c r="F250" s="6"/>
      <c r="G250" s="6"/>
    </row>
    <row r="251">
      <c r="D251" s="6"/>
      <c r="F251" s="6"/>
      <c r="G251" s="6"/>
    </row>
    <row r="252">
      <c r="D252" s="6"/>
      <c r="F252" s="6"/>
      <c r="G252" s="6"/>
    </row>
    <row r="253">
      <c r="D253" s="6"/>
      <c r="F253" s="6"/>
      <c r="G253" s="6"/>
    </row>
    <row r="254">
      <c r="D254" s="6"/>
      <c r="F254" s="6"/>
      <c r="G254" s="6"/>
    </row>
    <row r="255">
      <c r="D255" s="6"/>
      <c r="F255" s="6"/>
      <c r="G255" s="6"/>
    </row>
    <row r="256">
      <c r="D256" s="6"/>
      <c r="F256" s="6"/>
      <c r="G256" s="6"/>
    </row>
    <row r="257">
      <c r="D257" s="6"/>
      <c r="F257" s="6"/>
      <c r="G257" s="6"/>
    </row>
    <row r="258">
      <c r="D258" s="6"/>
      <c r="F258" s="6"/>
      <c r="G258" s="6"/>
    </row>
    <row r="259">
      <c r="D259" s="6"/>
      <c r="F259" s="6"/>
      <c r="G259" s="6"/>
    </row>
    <row r="260">
      <c r="D260" s="6"/>
      <c r="F260" s="6"/>
      <c r="G260" s="6"/>
    </row>
    <row r="261">
      <c r="D261" s="6"/>
      <c r="F261" s="6"/>
      <c r="G261" s="6"/>
    </row>
    <row r="262">
      <c r="D262" s="6"/>
      <c r="F262" s="6"/>
      <c r="G262" s="6"/>
    </row>
    <row r="263">
      <c r="D263" s="6"/>
      <c r="F263" s="6"/>
      <c r="G263" s="6"/>
    </row>
    <row r="264">
      <c r="D264" s="6"/>
      <c r="F264" s="6"/>
      <c r="G264" s="6"/>
    </row>
    <row r="265">
      <c r="D265" s="6"/>
      <c r="F265" s="6"/>
      <c r="G265" s="6"/>
    </row>
    <row r="266">
      <c r="D266" s="6"/>
      <c r="F266" s="6"/>
      <c r="G266" s="6"/>
    </row>
    <row r="267">
      <c r="D267" s="6"/>
      <c r="F267" s="6"/>
      <c r="G267" s="6"/>
    </row>
    <row r="268">
      <c r="D268" s="6"/>
      <c r="F268" s="6"/>
      <c r="G268" s="6"/>
    </row>
    <row r="269">
      <c r="D269" s="6"/>
      <c r="F269" s="6"/>
      <c r="G269" s="6"/>
    </row>
    <row r="270">
      <c r="D270" s="6"/>
      <c r="F270" s="6"/>
      <c r="G270" s="6"/>
    </row>
    <row r="271">
      <c r="D271" s="6"/>
      <c r="F271" s="6"/>
      <c r="G271" s="6"/>
    </row>
    <row r="272">
      <c r="D272" s="6"/>
      <c r="F272" s="6"/>
      <c r="G272" s="6"/>
    </row>
    <row r="273">
      <c r="D273" s="6"/>
      <c r="F273" s="6"/>
      <c r="G273" s="6"/>
    </row>
    <row r="274">
      <c r="D274" s="6"/>
      <c r="F274" s="6"/>
      <c r="G274" s="6"/>
    </row>
    <row r="275">
      <c r="D275" s="6"/>
      <c r="F275" s="6"/>
      <c r="G275" s="6"/>
    </row>
    <row r="276">
      <c r="D276" s="6"/>
      <c r="F276" s="6"/>
      <c r="G276" s="6"/>
    </row>
    <row r="277">
      <c r="D277" s="6"/>
      <c r="F277" s="6"/>
      <c r="G277" s="6"/>
    </row>
    <row r="278">
      <c r="D278" s="6"/>
      <c r="F278" s="6"/>
      <c r="G278" s="6"/>
    </row>
    <row r="279">
      <c r="D279" s="6"/>
      <c r="F279" s="6"/>
      <c r="G279" s="6"/>
    </row>
    <row r="280">
      <c r="D280" s="6"/>
      <c r="F280" s="6"/>
      <c r="G280" s="6"/>
    </row>
    <row r="281">
      <c r="D281" s="6"/>
      <c r="F281" s="6"/>
      <c r="G281" s="6"/>
    </row>
    <row r="282">
      <c r="D282" s="6"/>
      <c r="F282" s="6"/>
      <c r="G282" s="6"/>
    </row>
    <row r="283">
      <c r="D283" s="6"/>
      <c r="F283" s="6"/>
      <c r="G283" s="6"/>
    </row>
    <row r="284">
      <c r="D284" s="6"/>
      <c r="F284" s="6"/>
      <c r="G284" s="6"/>
    </row>
    <row r="285">
      <c r="D285" s="6"/>
      <c r="F285" s="6"/>
      <c r="G285" s="6"/>
    </row>
    <row r="286">
      <c r="D286" s="6"/>
      <c r="F286" s="6"/>
      <c r="G286" s="6"/>
    </row>
    <row r="287">
      <c r="D287" s="6"/>
      <c r="F287" s="6"/>
      <c r="G287" s="6"/>
    </row>
    <row r="288">
      <c r="D288" s="6"/>
      <c r="F288" s="6"/>
      <c r="G288" s="6"/>
    </row>
    <row r="289">
      <c r="D289" s="6"/>
      <c r="F289" s="6"/>
      <c r="G289" s="6"/>
    </row>
    <row r="290">
      <c r="D290" s="6"/>
      <c r="F290" s="6"/>
      <c r="G290" s="6"/>
    </row>
    <row r="291">
      <c r="D291" s="6"/>
      <c r="F291" s="6"/>
      <c r="G291" s="6"/>
    </row>
    <row r="292">
      <c r="D292" s="6"/>
      <c r="F292" s="6"/>
      <c r="G292" s="6"/>
    </row>
    <row r="293">
      <c r="D293" s="6"/>
      <c r="F293" s="6"/>
      <c r="G293" s="6"/>
    </row>
    <row r="294">
      <c r="D294" s="6"/>
      <c r="F294" s="6"/>
      <c r="G294" s="6"/>
    </row>
    <row r="295">
      <c r="D295" s="6"/>
      <c r="F295" s="6"/>
      <c r="G295" s="6"/>
    </row>
    <row r="296">
      <c r="D296" s="6"/>
      <c r="F296" s="6"/>
      <c r="G296" s="6"/>
    </row>
    <row r="297">
      <c r="D297" s="6"/>
      <c r="F297" s="6"/>
      <c r="G297" s="6"/>
    </row>
    <row r="298">
      <c r="D298" s="6"/>
      <c r="F298" s="6"/>
      <c r="G298" s="6"/>
    </row>
    <row r="299">
      <c r="D299" s="6"/>
      <c r="F299" s="6"/>
      <c r="G299" s="6"/>
    </row>
    <row r="300">
      <c r="D300" s="6"/>
      <c r="F300" s="6"/>
      <c r="G300" s="6"/>
    </row>
    <row r="301">
      <c r="D301" s="6"/>
      <c r="F301" s="6"/>
      <c r="G301" s="6"/>
    </row>
    <row r="302">
      <c r="D302" s="6"/>
      <c r="F302" s="6"/>
      <c r="G302" s="6"/>
    </row>
    <row r="303">
      <c r="D303" s="6"/>
      <c r="F303" s="6"/>
      <c r="G303" s="6"/>
    </row>
    <row r="304">
      <c r="D304" s="6"/>
      <c r="F304" s="6"/>
      <c r="G304" s="6"/>
    </row>
    <row r="305">
      <c r="D305" s="6"/>
      <c r="F305" s="6"/>
      <c r="G305" s="6"/>
    </row>
    <row r="306">
      <c r="D306" s="6"/>
      <c r="F306" s="6"/>
      <c r="G306" s="6"/>
    </row>
    <row r="307">
      <c r="D307" s="6"/>
      <c r="F307" s="6"/>
      <c r="G307" s="6"/>
    </row>
    <row r="308">
      <c r="D308" s="6"/>
      <c r="F308" s="6"/>
      <c r="G308" s="6"/>
    </row>
    <row r="309">
      <c r="D309" s="6"/>
      <c r="F309" s="6"/>
      <c r="G309" s="6"/>
    </row>
    <row r="310">
      <c r="D310" s="6"/>
      <c r="F310" s="6"/>
      <c r="G310" s="6"/>
    </row>
    <row r="311">
      <c r="D311" s="6"/>
      <c r="F311" s="6"/>
      <c r="G311" s="6"/>
    </row>
    <row r="312">
      <c r="D312" s="6"/>
      <c r="F312" s="6"/>
      <c r="G312" s="6"/>
    </row>
    <row r="313">
      <c r="D313" s="6"/>
      <c r="F313" s="6"/>
      <c r="G313" s="6"/>
    </row>
    <row r="314">
      <c r="D314" s="6"/>
      <c r="F314" s="6"/>
      <c r="G314" s="6"/>
    </row>
    <row r="315">
      <c r="D315" s="6"/>
      <c r="F315" s="6"/>
      <c r="G315" s="6"/>
    </row>
    <row r="316">
      <c r="D316" s="6"/>
      <c r="F316" s="6"/>
      <c r="G316" s="6"/>
    </row>
    <row r="317">
      <c r="D317" s="6"/>
      <c r="F317" s="6"/>
      <c r="G317" s="6"/>
    </row>
    <row r="318">
      <c r="D318" s="6"/>
      <c r="F318" s="6"/>
      <c r="G318" s="6"/>
    </row>
    <row r="319">
      <c r="D319" s="6"/>
      <c r="F319" s="6"/>
      <c r="G319" s="6"/>
    </row>
    <row r="320">
      <c r="D320" s="6"/>
      <c r="F320" s="6"/>
      <c r="G320" s="6"/>
    </row>
    <row r="321">
      <c r="D321" s="6"/>
      <c r="F321" s="6"/>
      <c r="G321" s="6"/>
    </row>
    <row r="322">
      <c r="D322" s="6"/>
      <c r="F322" s="6"/>
      <c r="G322" s="6"/>
    </row>
    <row r="323">
      <c r="D323" s="6"/>
      <c r="F323" s="6"/>
      <c r="G323" s="6"/>
    </row>
    <row r="324">
      <c r="D324" s="6"/>
      <c r="F324" s="6"/>
      <c r="G324" s="6"/>
    </row>
    <row r="325">
      <c r="D325" s="6"/>
      <c r="F325" s="6"/>
      <c r="G325" s="6"/>
    </row>
    <row r="326">
      <c r="D326" s="6"/>
      <c r="F326" s="6"/>
      <c r="G326" s="6"/>
    </row>
    <row r="327">
      <c r="D327" s="6"/>
      <c r="F327" s="6"/>
      <c r="G327" s="6"/>
    </row>
    <row r="328">
      <c r="D328" s="6"/>
      <c r="F328" s="6"/>
      <c r="G328" s="6"/>
    </row>
    <row r="329">
      <c r="D329" s="6"/>
      <c r="F329" s="6"/>
      <c r="G329" s="6"/>
    </row>
    <row r="330">
      <c r="D330" s="6"/>
      <c r="F330" s="6"/>
      <c r="G330" s="6"/>
    </row>
    <row r="331">
      <c r="D331" s="6"/>
      <c r="F331" s="6"/>
      <c r="G331" s="6"/>
    </row>
    <row r="332">
      <c r="D332" s="6"/>
      <c r="F332" s="6"/>
      <c r="G332" s="6"/>
    </row>
    <row r="333">
      <c r="D333" s="6"/>
      <c r="F333" s="6"/>
      <c r="G333" s="6"/>
    </row>
    <row r="334">
      <c r="D334" s="6"/>
      <c r="F334" s="6"/>
      <c r="G334" s="6"/>
    </row>
    <row r="335">
      <c r="D335" s="6"/>
      <c r="F335" s="6"/>
      <c r="G335" s="6"/>
    </row>
    <row r="336">
      <c r="D336" s="6"/>
      <c r="F336" s="6"/>
      <c r="G336" s="6"/>
    </row>
    <row r="337">
      <c r="D337" s="6"/>
      <c r="F337" s="6"/>
      <c r="G337" s="6"/>
    </row>
    <row r="338">
      <c r="D338" s="6"/>
      <c r="F338" s="6"/>
      <c r="G338" s="6"/>
    </row>
    <row r="339">
      <c r="D339" s="6"/>
      <c r="F339" s="6"/>
      <c r="G339" s="6"/>
    </row>
    <row r="340">
      <c r="D340" s="6"/>
      <c r="F340" s="6"/>
      <c r="G340" s="6"/>
    </row>
    <row r="341">
      <c r="D341" s="6"/>
      <c r="F341" s="6"/>
      <c r="G341" s="6"/>
    </row>
    <row r="342">
      <c r="D342" s="6"/>
      <c r="F342" s="6"/>
      <c r="G342" s="6"/>
    </row>
    <row r="343">
      <c r="D343" s="6"/>
      <c r="F343" s="6"/>
      <c r="G343" s="6"/>
    </row>
    <row r="344">
      <c r="D344" s="6"/>
      <c r="F344" s="6"/>
      <c r="G344" s="6"/>
    </row>
    <row r="345">
      <c r="D345" s="6"/>
      <c r="F345" s="6"/>
      <c r="G345" s="6"/>
    </row>
    <row r="346">
      <c r="D346" s="6"/>
      <c r="F346" s="6"/>
      <c r="G346" s="6"/>
    </row>
    <row r="347">
      <c r="D347" s="6"/>
      <c r="F347" s="6"/>
      <c r="G347" s="6"/>
    </row>
    <row r="348">
      <c r="D348" s="6"/>
      <c r="F348" s="6"/>
      <c r="G348" s="6"/>
    </row>
    <row r="349">
      <c r="D349" s="6"/>
      <c r="F349" s="6"/>
      <c r="G349" s="6"/>
    </row>
    <row r="350">
      <c r="D350" s="6"/>
      <c r="F350" s="6"/>
      <c r="G350" s="6"/>
    </row>
    <row r="351">
      <c r="D351" s="6"/>
      <c r="F351" s="6"/>
      <c r="G351" s="6"/>
    </row>
    <row r="352">
      <c r="D352" s="6"/>
      <c r="F352" s="6"/>
      <c r="G352" s="6"/>
    </row>
    <row r="353">
      <c r="D353" s="6"/>
      <c r="F353" s="6"/>
      <c r="G353" s="6"/>
    </row>
    <row r="354">
      <c r="D354" s="6"/>
      <c r="F354" s="6"/>
      <c r="G354" s="6"/>
    </row>
    <row r="355">
      <c r="D355" s="6"/>
      <c r="F355" s="6"/>
      <c r="G355" s="6"/>
    </row>
    <row r="356">
      <c r="D356" s="6"/>
      <c r="F356" s="6"/>
      <c r="G356" s="6"/>
    </row>
    <row r="357">
      <c r="D357" s="6"/>
      <c r="F357" s="6"/>
      <c r="G357" s="6"/>
    </row>
    <row r="358">
      <c r="D358" s="6"/>
      <c r="F358" s="6"/>
      <c r="G358" s="6"/>
    </row>
    <row r="359">
      <c r="D359" s="6"/>
      <c r="F359" s="6"/>
      <c r="G359" s="6"/>
    </row>
    <row r="360">
      <c r="D360" s="6"/>
      <c r="F360" s="6"/>
      <c r="G360" s="6"/>
    </row>
    <row r="361">
      <c r="D361" s="6"/>
      <c r="F361" s="6"/>
      <c r="G361" s="6"/>
    </row>
    <row r="362">
      <c r="D362" s="6"/>
      <c r="F362" s="6"/>
      <c r="G362" s="6"/>
    </row>
    <row r="363">
      <c r="D363" s="6"/>
      <c r="F363" s="6"/>
      <c r="G363" s="6"/>
    </row>
    <row r="364">
      <c r="D364" s="6"/>
      <c r="F364" s="6"/>
      <c r="G364" s="6"/>
    </row>
    <row r="365">
      <c r="D365" s="6"/>
      <c r="F365" s="6"/>
      <c r="G365" s="6"/>
    </row>
    <row r="366">
      <c r="D366" s="6"/>
      <c r="F366" s="6"/>
      <c r="G366" s="6"/>
    </row>
    <row r="367">
      <c r="D367" s="6"/>
      <c r="F367" s="6"/>
      <c r="G367" s="6"/>
    </row>
    <row r="368">
      <c r="D368" s="6"/>
      <c r="F368" s="6"/>
      <c r="G368" s="6"/>
    </row>
    <row r="369">
      <c r="D369" s="6"/>
      <c r="F369" s="6"/>
      <c r="G369" s="6"/>
    </row>
    <row r="370">
      <c r="D370" s="6"/>
      <c r="F370" s="6"/>
      <c r="G370" s="6"/>
    </row>
    <row r="371">
      <c r="D371" s="6"/>
      <c r="F371" s="6"/>
      <c r="G371" s="6"/>
    </row>
    <row r="372">
      <c r="D372" s="6"/>
      <c r="F372" s="6"/>
      <c r="G372" s="6"/>
    </row>
    <row r="373">
      <c r="D373" s="6"/>
      <c r="F373" s="6"/>
      <c r="G373" s="6"/>
    </row>
    <row r="374">
      <c r="D374" s="6"/>
      <c r="F374" s="6"/>
      <c r="G374" s="6"/>
    </row>
    <row r="375">
      <c r="D375" s="6"/>
      <c r="F375" s="6"/>
      <c r="G375" s="6"/>
    </row>
    <row r="376">
      <c r="D376" s="6"/>
      <c r="F376" s="6"/>
      <c r="G376" s="6"/>
    </row>
    <row r="377">
      <c r="D377" s="6"/>
      <c r="F377" s="6"/>
      <c r="G377" s="6"/>
    </row>
    <row r="378">
      <c r="D378" s="6"/>
      <c r="F378" s="6"/>
      <c r="G378" s="6"/>
    </row>
    <row r="379">
      <c r="D379" s="6"/>
      <c r="F379" s="6"/>
      <c r="G379" s="6"/>
    </row>
    <row r="380">
      <c r="D380" s="6"/>
      <c r="F380" s="6"/>
      <c r="G380" s="6"/>
    </row>
    <row r="381">
      <c r="D381" s="6"/>
      <c r="F381" s="6"/>
      <c r="G381" s="6"/>
    </row>
    <row r="382">
      <c r="D382" s="6"/>
      <c r="F382" s="6"/>
      <c r="G382" s="6"/>
    </row>
    <row r="383">
      <c r="D383" s="6"/>
      <c r="F383" s="6"/>
      <c r="G383" s="6"/>
    </row>
    <row r="384">
      <c r="D384" s="6"/>
      <c r="F384" s="6"/>
      <c r="G384" s="6"/>
    </row>
    <row r="385">
      <c r="D385" s="6"/>
      <c r="F385" s="6"/>
      <c r="G385" s="6"/>
    </row>
    <row r="386">
      <c r="D386" s="6"/>
      <c r="F386" s="6"/>
      <c r="G386" s="6"/>
    </row>
    <row r="387">
      <c r="D387" s="6"/>
      <c r="F387" s="6"/>
      <c r="G387" s="6"/>
    </row>
    <row r="388">
      <c r="D388" s="6"/>
      <c r="F388" s="6"/>
      <c r="G388" s="6"/>
    </row>
    <row r="389">
      <c r="D389" s="6"/>
      <c r="F389" s="6"/>
      <c r="G389" s="6"/>
    </row>
    <row r="390">
      <c r="D390" s="6"/>
      <c r="F390" s="6"/>
      <c r="G390" s="6"/>
    </row>
    <row r="391">
      <c r="D391" s="6"/>
      <c r="F391" s="6"/>
      <c r="G391" s="6"/>
    </row>
    <row r="392">
      <c r="D392" s="6"/>
      <c r="F392" s="6"/>
      <c r="G392" s="6"/>
    </row>
    <row r="393">
      <c r="D393" s="6"/>
      <c r="F393" s="6"/>
      <c r="G393" s="6"/>
    </row>
    <row r="394">
      <c r="D394" s="6"/>
      <c r="F394" s="6"/>
      <c r="G394" s="6"/>
    </row>
    <row r="395">
      <c r="D395" s="6"/>
      <c r="F395" s="6"/>
      <c r="G395" s="6"/>
    </row>
    <row r="396">
      <c r="D396" s="6"/>
      <c r="F396" s="6"/>
      <c r="G396" s="6"/>
    </row>
    <row r="397">
      <c r="D397" s="6"/>
      <c r="F397" s="6"/>
      <c r="G397" s="6"/>
    </row>
    <row r="398">
      <c r="D398" s="6"/>
      <c r="F398" s="6"/>
      <c r="G398" s="6"/>
    </row>
    <row r="399">
      <c r="D399" s="6"/>
      <c r="F399" s="6"/>
      <c r="G399" s="6"/>
    </row>
    <row r="400">
      <c r="D400" s="6"/>
      <c r="F400" s="6"/>
      <c r="G400" s="6"/>
    </row>
    <row r="401">
      <c r="D401" s="6"/>
      <c r="F401" s="6"/>
      <c r="G401" s="6"/>
    </row>
    <row r="402">
      <c r="D402" s="6"/>
      <c r="F402" s="6"/>
      <c r="G402" s="6"/>
    </row>
    <row r="403">
      <c r="D403" s="6"/>
      <c r="F403" s="6"/>
      <c r="G403" s="6"/>
    </row>
    <row r="404">
      <c r="D404" s="6"/>
      <c r="F404" s="6"/>
      <c r="G404" s="6"/>
    </row>
    <row r="405">
      <c r="D405" s="6"/>
      <c r="F405" s="6"/>
      <c r="G405" s="6"/>
    </row>
    <row r="406">
      <c r="D406" s="6"/>
      <c r="F406" s="6"/>
      <c r="G406" s="6"/>
    </row>
    <row r="407">
      <c r="D407" s="6"/>
      <c r="F407" s="6"/>
      <c r="G407" s="6"/>
    </row>
    <row r="408">
      <c r="D408" s="6"/>
      <c r="F408" s="6"/>
      <c r="G408" s="6"/>
    </row>
    <row r="409">
      <c r="D409" s="6"/>
      <c r="F409" s="6"/>
      <c r="G409" s="6"/>
    </row>
    <row r="410">
      <c r="D410" s="6"/>
      <c r="F410" s="6"/>
      <c r="G410" s="6"/>
    </row>
    <row r="411">
      <c r="D411" s="6"/>
      <c r="F411" s="6"/>
      <c r="G411" s="6"/>
    </row>
    <row r="412">
      <c r="D412" s="6"/>
      <c r="F412" s="6"/>
      <c r="G412" s="6"/>
    </row>
    <row r="413">
      <c r="D413" s="6"/>
      <c r="F413" s="6"/>
      <c r="G413" s="6"/>
    </row>
    <row r="414">
      <c r="D414" s="6"/>
      <c r="F414" s="6"/>
      <c r="G414" s="6"/>
    </row>
    <row r="415">
      <c r="D415" s="6"/>
      <c r="F415" s="6"/>
      <c r="G415" s="6"/>
    </row>
    <row r="416">
      <c r="D416" s="6"/>
      <c r="F416" s="6"/>
      <c r="G416" s="6"/>
    </row>
    <row r="417">
      <c r="D417" s="6"/>
      <c r="F417" s="6"/>
      <c r="G417" s="6"/>
    </row>
    <row r="418">
      <c r="D418" s="6"/>
      <c r="F418" s="6"/>
      <c r="G418" s="6"/>
    </row>
    <row r="419">
      <c r="D419" s="6"/>
      <c r="F419" s="6"/>
      <c r="G419" s="6"/>
    </row>
    <row r="420">
      <c r="D420" s="6"/>
      <c r="F420" s="6"/>
      <c r="G420" s="6"/>
    </row>
    <row r="421">
      <c r="D421" s="6"/>
      <c r="F421" s="6"/>
      <c r="G421" s="6"/>
    </row>
    <row r="422">
      <c r="D422" s="6"/>
      <c r="F422" s="6"/>
      <c r="G422" s="6"/>
    </row>
    <row r="423">
      <c r="D423" s="6"/>
      <c r="F423" s="6"/>
      <c r="G423" s="6"/>
    </row>
    <row r="424">
      <c r="D424" s="6"/>
      <c r="F424" s="6"/>
      <c r="G424" s="6"/>
    </row>
    <row r="425">
      <c r="D425" s="6"/>
      <c r="F425" s="6"/>
      <c r="G425" s="6"/>
    </row>
    <row r="426">
      <c r="D426" s="6"/>
      <c r="F426" s="6"/>
      <c r="G426" s="6"/>
    </row>
    <row r="427">
      <c r="D427" s="6"/>
      <c r="F427" s="6"/>
      <c r="G427" s="6"/>
    </row>
    <row r="428">
      <c r="D428" s="6"/>
      <c r="F428" s="6"/>
      <c r="G428" s="6"/>
    </row>
    <row r="429">
      <c r="D429" s="6"/>
      <c r="F429" s="6"/>
      <c r="G429" s="6"/>
    </row>
    <row r="430">
      <c r="D430" s="6"/>
      <c r="F430" s="6"/>
      <c r="G430" s="6"/>
    </row>
    <row r="431">
      <c r="D431" s="6"/>
      <c r="F431" s="6"/>
      <c r="G431" s="6"/>
    </row>
    <row r="432">
      <c r="D432" s="6"/>
      <c r="F432" s="6"/>
      <c r="G432" s="6"/>
    </row>
    <row r="433">
      <c r="D433" s="6"/>
      <c r="F433" s="6"/>
      <c r="G433" s="6"/>
    </row>
    <row r="434">
      <c r="D434" s="6"/>
      <c r="F434" s="6"/>
      <c r="G434" s="6"/>
    </row>
    <row r="435">
      <c r="D435" s="6"/>
      <c r="F435" s="6"/>
      <c r="G435" s="6"/>
    </row>
    <row r="436">
      <c r="D436" s="6"/>
      <c r="F436" s="6"/>
      <c r="G436" s="6"/>
    </row>
    <row r="437">
      <c r="D437" s="6"/>
      <c r="F437" s="6"/>
      <c r="G437" s="6"/>
    </row>
    <row r="438">
      <c r="D438" s="6"/>
      <c r="F438" s="6"/>
      <c r="G438" s="6"/>
    </row>
    <row r="439">
      <c r="D439" s="6"/>
      <c r="F439" s="6"/>
      <c r="G439" s="6"/>
    </row>
    <row r="440">
      <c r="D440" s="6"/>
      <c r="F440" s="6"/>
      <c r="G440" s="6"/>
    </row>
    <row r="441">
      <c r="D441" s="6"/>
      <c r="F441" s="6"/>
      <c r="G441" s="6"/>
    </row>
    <row r="442">
      <c r="D442" s="6"/>
      <c r="F442" s="6"/>
      <c r="G442" s="6"/>
    </row>
    <row r="443">
      <c r="D443" s="6"/>
      <c r="F443" s="6"/>
      <c r="G443" s="6"/>
    </row>
    <row r="444">
      <c r="D444" s="6"/>
      <c r="F444" s="6"/>
      <c r="G444" s="6"/>
    </row>
    <row r="445">
      <c r="D445" s="6"/>
      <c r="F445" s="6"/>
      <c r="G445" s="6"/>
    </row>
    <row r="446">
      <c r="D446" s="6"/>
      <c r="F446" s="6"/>
      <c r="G446" s="6"/>
    </row>
    <row r="447">
      <c r="D447" s="6"/>
      <c r="F447" s="6"/>
      <c r="G447" s="6"/>
    </row>
    <row r="448">
      <c r="D448" s="6"/>
      <c r="F448" s="6"/>
      <c r="G448" s="6"/>
    </row>
    <row r="449">
      <c r="D449" s="6"/>
      <c r="F449" s="6"/>
      <c r="G449" s="6"/>
    </row>
    <row r="450">
      <c r="D450" s="6"/>
      <c r="F450" s="6"/>
      <c r="G450" s="6"/>
    </row>
    <row r="451">
      <c r="D451" s="6"/>
      <c r="F451" s="6"/>
      <c r="G451" s="6"/>
    </row>
    <row r="452">
      <c r="D452" s="6"/>
      <c r="F452" s="6"/>
      <c r="G452" s="6"/>
    </row>
    <row r="453">
      <c r="D453" s="6"/>
      <c r="F453" s="6"/>
      <c r="G453" s="6"/>
    </row>
    <row r="454">
      <c r="D454" s="6"/>
      <c r="F454" s="6"/>
      <c r="G454" s="6"/>
    </row>
    <row r="455">
      <c r="D455" s="6"/>
      <c r="F455" s="6"/>
      <c r="G455" s="6"/>
    </row>
    <row r="456">
      <c r="D456" s="6"/>
      <c r="F456" s="6"/>
      <c r="G456" s="6"/>
    </row>
    <row r="457">
      <c r="D457" s="6"/>
      <c r="F457" s="6"/>
      <c r="G457" s="6"/>
    </row>
    <row r="458">
      <c r="D458" s="6"/>
      <c r="F458" s="6"/>
      <c r="G458" s="6"/>
    </row>
    <row r="459">
      <c r="D459" s="6"/>
      <c r="F459" s="6"/>
      <c r="G459" s="6"/>
    </row>
    <row r="460">
      <c r="D460" s="6"/>
      <c r="F460" s="6"/>
      <c r="G460" s="6"/>
    </row>
    <row r="461">
      <c r="D461" s="6"/>
      <c r="F461" s="6"/>
      <c r="G461" s="6"/>
    </row>
    <row r="462">
      <c r="D462" s="6"/>
      <c r="F462" s="6"/>
      <c r="G462" s="6"/>
    </row>
    <row r="463">
      <c r="D463" s="6"/>
      <c r="F463" s="6"/>
      <c r="G463" s="6"/>
    </row>
    <row r="464">
      <c r="D464" s="6"/>
      <c r="F464" s="6"/>
      <c r="G464" s="6"/>
    </row>
    <row r="465">
      <c r="D465" s="6"/>
      <c r="F465" s="6"/>
      <c r="G465" s="6"/>
    </row>
    <row r="466">
      <c r="D466" s="6"/>
      <c r="F466" s="6"/>
      <c r="G466" s="6"/>
    </row>
    <row r="467">
      <c r="D467" s="6"/>
      <c r="F467" s="6"/>
      <c r="G467" s="6"/>
    </row>
    <row r="468">
      <c r="D468" s="6"/>
      <c r="F468" s="6"/>
      <c r="G468" s="6"/>
    </row>
    <row r="469">
      <c r="D469" s="6"/>
      <c r="F469" s="6"/>
      <c r="G469" s="6"/>
    </row>
    <row r="470">
      <c r="D470" s="6"/>
      <c r="F470" s="6"/>
      <c r="G470" s="6"/>
    </row>
    <row r="471">
      <c r="D471" s="6"/>
      <c r="F471" s="6"/>
      <c r="G471" s="6"/>
    </row>
    <row r="472">
      <c r="D472" s="6"/>
      <c r="F472" s="6"/>
      <c r="G472" s="6"/>
    </row>
    <row r="473">
      <c r="D473" s="6"/>
      <c r="F473" s="6"/>
      <c r="G473" s="6"/>
    </row>
    <row r="474">
      <c r="D474" s="6"/>
      <c r="F474" s="6"/>
      <c r="G474" s="6"/>
    </row>
    <row r="475">
      <c r="D475" s="6"/>
      <c r="F475" s="6"/>
      <c r="G475" s="6"/>
    </row>
    <row r="476">
      <c r="D476" s="6"/>
      <c r="F476" s="6"/>
      <c r="G476" s="6"/>
    </row>
    <row r="477">
      <c r="D477" s="6"/>
      <c r="F477" s="6"/>
      <c r="G477" s="6"/>
    </row>
    <row r="478">
      <c r="D478" s="6"/>
      <c r="F478" s="6"/>
      <c r="G478" s="6"/>
    </row>
    <row r="479">
      <c r="D479" s="6"/>
      <c r="F479" s="6"/>
      <c r="G479" s="6"/>
    </row>
    <row r="480">
      <c r="D480" s="6"/>
      <c r="F480" s="6"/>
      <c r="G480" s="6"/>
    </row>
    <row r="481">
      <c r="D481" s="6"/>
      <c r="F481" s="6"/>
      <c r="G481" s="6"/>
    </row>
    <row r="482">
      <c r="D482" s="6"/>
      <c r="F482" s="6"/>
      <c r="G482" s="6"/>
    </row>
    <row r="483">
      <c r="D483" s="6"/>
      <c r="F483" s="6"/>
      <c r="G483" s="6"/>
    </row>
    <row r="484">
      <c r="D484" s="6"/>
      <c r="F484" s="6"/>
      <c r="G484" s="6"/>
    </row>
    <row r="485">
      <c r="D485" s="6"/>
      <c r="F485" s="6"/>
      <c r="G485" s="6"/>
    </row>
    <row r="486">
      <c r="D486" s="6"/>
      <c r="F486" s="6"/>
      <c r="G486" s="6"/>
    </row>
    <row r="487">
      <c r="D487" s="6"/>
      <c r="F487" s="6"/>
      <c r="G487" s="6"/>
    </row>
    <row r="488">
      <c r="D488" s="6"/>
      <c r="F488" s="6"/>
      <c r="G488" s="6"/>
    </row>
    <row r="489">
      <c r="D489" s="6"/>
      <c r="F489" s="6"/>
      <c r="G489" s="6"/>
    </row>
    <row r="490">
      <c r="D490" s="6"/>
      <c r="F490" s="6"/>
      <c r="G490" s="6"/>
    </row>
    <row r="491">
      <c r="D491" s="6"/>
      <c r="F491" s="6"/>
      <c r="G491" s="6"/>
    </row>
    <row r="492">
      <c r="D492" s="6"/>
      <c r="F492" s="6"/>
      <c r="G492" s="6"/>
    </row>
    <row r="493">
      <c r="D493" s="6"/>
      <c r="F493" s="6"/>
      <c r="G493" s="6"/>
    </row>
    <row r="494">
      <c r="D494" s="6"/>
      <c r="F494" s="6"/>
      <c r="G494" s="6"/>
    </row>
    <row r="495">
      <c r="D495" s="6"/>
      <c r="F495" s="6"/>
      <c r="G495" s="6"/>
    </row>
    <row r="496">
      <c r="D496" s="6"/>
      <c r="F496" s="6"/>
      <c r="G496" s="6"/>
    </row>
    <row r="497">
      <c r="D497" s="6"/>
      <c r="F497" s="6"/>
      <c r="G497" s="6"/>
    </row>
    <row r="498">
      <c r="D498" s="6"/>
      <c r="F498" s="6"/>
      <c r="G498" s="6"/>
    </row>
    <row r="499">
      <c r="D499" s="6"/>
      <c r="F499" s="6"/>
      <c r="G499" s="6"/>
    </row>
    <row r="500">
      <c r="D500" s="6"/>
      <c r="F500" s="6"/>
      <c r="G500" s="6"/>
    </row>
    <row r="501">
      <c r="D501" s="6"/>
      <c r="F501" s="6"/>
      <c r="G501" s="6"/>
    </row>
    <row r="502">
      <c r="D502" s="6"/>
      <c r="F502" s="6"/>
      <c r="G502" s="6"/>
    </row>
    <row r="503">
      <c r="D503" s="6"/>
      <c r="F503" s="6"/>
      <c r="G503" s="6"/>
    </row>
    <row r="504">
      <c r="D504" s="6"/>
      <c r="F504" s="6"/>
      <c r="G504" s="6"/>
    </row>
    <row r="505">
      <c r="D505" s="6"/>
      <c r="F505" s="6"/>
      <c r="G505" s="6"/>
    </row>
    <row r="506">
      <c r="D506" s="6"/>
      <c r="F506" s="6"/>
      <c r="G506" s="6"/>
    </row>
    <row r="507">
      <c r="D507" s="6"/>
      <c r="F507" s="6"/>
      <c r="G507" s="6"/>
    </row>
    <row r="508">
      <c r="D508" s="6"/>
      <c r="F508" s="6"/>
      <c r="G508" s="6"/>
    </row>
    <row r="509">
      <c r="D509" s="6"/>
      <c r="F509" s="6"/>
      <c r="G509" s="6"/>
    </row>
    <row r="510">
      <c r="D510" s="6"/>
      <c r="F510" s="6"/>
      <c r="G510" s="6"/>
    </row>
    <row r="511">
      <c r="D511" s="6"/>
      <c r="F511" s="6"/>
      <c r="G511" s="6"/>
    </row>
    <row r="512">
      <c r="D512" s="6"/>
      <c r="F512" s="6"/>
      <c r="G512" s="6"/>
    </row>
    <row r="513">
      <c r="D513" s="6"/>
      <c r="F513" s="6"/>
      <c r="G513" s="6"/>
    </row>
    <row r="514">
      <c r="D514" s="6"/>
      <c r="F514" s="6"/>
      <c r="G514" s="6"/>
    </row>
    <row r="515">
      <c r="D515" s="6"/>
      <c r="F515" s="6"/>
      <c r="G515" s="6"/>
    </row>
    <row r="516">
      <c r="D516" s="6"/>
      <c r="F516" s="6"/>
      <c r="G516" s="6"/>
    </row>
    <row r="517">
      <c r="D517" s="6"/>
      <c r="F517" s="6"/>
      <c r="G517" s="6"/>
    </row>
    <row r="518">
      <c r="D518" s="6"/>
      <c r="F518" s="6"/>
      <c r="G518" s="6"/>
    </row>
    <row r="519">
      <c r="D519" s="6"/>
      <c r="F519" s="6"/>
      <c r="G519" s="6"/>
    </row>
    <row r="520">
      <c r="D520" s="6"/>
      <c r="F520" s="6"/>
      <c r="G520" s="6"/>
    </row>
    <row r="521">
      <c r="D521" s="6"/>
      <c r="F521" s="6"/>
      <c r="G521" s="6"/>
    </row>
    <row r="522">
      <c r="D522" s="6"/>
      <c r="F522" s="6"/>
      <c r="G522" s="6"/>
    </row>
    <row r="523">
      <c r="D523" s="6"/>
      <c r="F523" s="6"/>
      <c r="G523" s="6"/>
    </row>
    <row r="524">
      <c r="D524" s="6"/>
      <c r="F524" s="6"/>
      <c r="G524" s="6"/>
    </row>
    <row r="525">
      <c r="D525" s="6"/>
      <c r="F525" s="6"/>
      <c r="G525" s="6"/>
    </row>
    <row r="526">
      <c r="D526" s="6"/>
      <c r="F526" s="6"/>
      <c r="G526" s="6"/>
    </row>
    <row r="527">
      <c r="D527" s="6"/>
      <c r="F527" s="6"/>
      <c r="G527" s="6"/>
    </row>
    <row r="528">
      <c r="D528" s="6"/>
      <c r="F528" s="6"/>
      <c r="G528" s="6"/>
    </row>
    <row r="529">
      <c r="D529" s="6"/>
      <c r="F529" s="6"/>
      <c r="G529" s="6"/>
    </row>
    <row r="530">
      <c r="D530" s="6"/>
      <c r="F530" s="6"/>
      <c r="G530" s="6"/>
    </row>
    <row r="531">
      <c r="D531" s="6"/>
      <c r="F531" s="6"/>
      <c r="G531" s="6"/>
    </row>
    <row r="532">
      <c r="D532" s="6"/>
      <c r="F532" s="6"/>
      <c r="G532" s="6"/>
    </row>
    <row r="533">
      <c r="D533" s="6"/>
      <c r="F533" s="6"/>
      <c r="G533" s="6"/>
    </row>
    <row r="534">
      <c r="D534" s="6"/>
      <c r="F534" s="6"/>
      <c r="G534" s="6"/>
    </row>
    <row r="535">
      <c r="D535" s="6"/>
      <c r="F535" s="6"/>
      <c r="G535" s="6"/>
    </row>
    <row r="536">
      <c r="D536" s="6"/>
      <c r="F536" s="6"/>
      <c r="G536" s="6"/>
    </row>
    <row r="537">
      <c r="D537" s="6"/>
      <c r="F537" s="6"/>
      <c r="G537" s="6"/>
    </row>
    <row r="538">
      <c r="D538" s="6"/>
      <c r="F538" s="6"/>
      <c r="G538" s="6"/>
    </row>
    <row r="539">
      <c r="D539" s="6"/>
      <c r="F539" s="6"/>
      <c r="G539" s="6"/>
    </row>
    <row r="540">
      <c r="D540" s="6"/>
      <c r="F540" s="6"/>
      <c r="G540" s="6"/>
    </row>
    <row r="541">
      <c r="D541" s="6"/>
      <c r="F541" s="6"/>
      <c r="G541" s="6"/>
    </row>
    <row r="542">
      <c r="D542" s="6"/>
      <c r="F542" s="6"/>
      <c r="G542" s="6"/>
    </row>
    <row r="543">
      <c r="D543" s="6"/>
      <c r="F543" s="6"/>
      <c r="G543" s="6"/>
    </row>
    <row r="544">
      <c r="D544" s="6"/>
      <c r="F544" s="6"/>
      <c r="G544" s="6"/>
    </row>
    <row r="545">
      <c r="D545" s="6"/>
      <c r="F545" s="6"/>
      <c r="G545" s="6"/>
    </row>
    <row r="546">
      <c r="D546" s="6"/>
      <c r="F546" s="6"/>
      <c r="G546" s="6"/>
    </row>
    <row r="547">
      <c r="D547" s="6"/>
      <c r="F547" s="6"/>
      <c r="G547" s="6"/>
    </row>
    <row r="548">
      <c r="D548" s="6"/>
      <c r="F548" s="6"/>
      <c r="G548" s="6"/>
    </row>
    <row r="549">
      <c r="D549" s="6"/>
      <c r="F549" s="6"/>
      <c r="G549" s="6"/>
    </row>
    <row r="550">
      <c r="D550" s="6"/>
      <c r="F550" s="6"/>
      <c r="G550" s="6"/>
    </row>
    <row r="551">
      <c r="D551" s="6"/>
      <c r="F551" s="6"/>
      <c r="G551" s="6"/>
    </row>
    <row r="552">
      <c r="D552" s="6"/>
      <c r="F552" s="6"/>
      <c r="G552" s="6"/>
    </row>
    <row r="553">
      <c r="D553" s="6"/>
      <c r="F553" s="6"/>
      <c r="G553" s="6"/>
    </row>
    <row r="554">
      <c r="D554" s="6"/>
      <c r="F554" s="6"/>
      <c r="G554" s="6"/>
    </row>
    <row r="555">
      <c r="D555" s="6"/>
      <c r="F555" s="6"/>
      <c r="G555" s="6"/>
    </row>
    <row r="556">
      <c r="D556" s="6"/>
      <c r="F556" s="6"/>
      <c r="G556" s="6"/>
    </row>
    <row r="557">
      <c r="D557" s="6"/>
      <c r="F557" s="6"/>
      <c r="G557" s="6"/>
    </row>
    <row r="558">
      <c r="D558" s="6"/>
      <c r="F558" s="6"/>
      <c r="G558" s="6"/>
    </row>
    <row r="559">
      <c r="D559" s="6"/>
      <c r="F559" s="6"/>
      <c r="G559" s="6"/>
    </row>
    <row r="560">
      <c r="D560" s="6"/>
      <c r="F560" s="6"/>
      <c r="G560" s="6"/>
    </row>
    <row r="561">
      <c r="D561" s="6"/>
      <c r="F561" s="6"/>
      <c r="G561" s="6"/>
    </row>
    <row r="562">
      <c r="D562" s="6"/>
      <c r="F562" s="6"/>
      <c r="G562" s="6"/>
    </row>
    <row r="563">
      <c r="D563" s="6"/>
      <c r="F563" s="6"/>
      <c r="G563" s="6"/>
    </row>
    <row r="564">
      <c r="D564" s="6"/>
      <c r="F564" s="6"/>
      <c r="G564" s="6"/>
    </row>
    <row r="565">
      <c r="D565" s="6"/>
      <c r="F565" s="6"/>
      <c r="G565" s="6"/>
    </row>
    <row r="566">
      <c r="D566" s="6"/>
      <c r="F566" s="6"/>
      <c r="G566" s="6"/>
    </row>
    <row r="567">
      <c r="D567" s="6"/>
      <c r="F567" s="6"/>
      <c r="G567" s="6"/>
    </row>
    <row r="568">
      <c r="D568" s="6"/>
      <c r="F568" s="6"/>
      <c r="G568" s="6"/>
    </row>
    <row r="569">
      <c r="D569" s="6"/>
      <c r="F569" s="6"/>
      <c r="G569" s="6"/>
    </row>
    <row r="570">
      <c r="D570" s="6"/>
      <c r="F570" s="6"/>
      <c r="G570" s="6"/>
    </row>
    <row r="571">
      <c r="D571" s="6"/>
      <c r="F571" s="6"/>
      <c r="G571" s="6"/>
    </row>
    <row r="572">
      <c r="D572" s="6"/>
      <c r="F572" s="6"/>
      <c r="G572" s="6"/>
    </row>
    <row r="573">
      <c r="D573" s="6"/>
      <c r="F573" s="6"/>
      <c r="G573" s="6"/>
    </row>
    <row r="574">
      <c r="D574" s="6"/>
      <c r="F574" s="6"/>
      <c r="G574" s="6"/>
    </row>
    <row r="575">
      <c r="D575" s="6"/>
      <c r="F575" s="6"/>
      <c r="G575" s="6"/>
    </row>
    <row r="576">
      <c r="D576" s="6"/>
      <c r="F576" s="6"/>
      <c r="G576" s="6"/>
    </row>
    <row r="577">
      <c r="D577" s="6"/>
      <c r="F577" s="6"/>
      <c r="G577" s="6"/>
    </row>
    <row r="578">
      <c r="D578" s="6"/>
      <c r="F578" s="6"/>
      <c r="G578" s="6"/>
    </row>
    <row r="579">
      <c r="D579" s="6"/>
      <c r="F579" s="6"/>
      <c r="G579" s="6"/>
    </row>
    <row r="580">
      <c r="D580" s="6"/>
      <c r="F580" s="6"/>
      <c r="G580" s="6"/>
    </row>
    <row r="581">
      <c r="D581" s="6"/>
      <c r="F581" s="6"/>
      <c r="G581" s="6"/>
    </row>
    <row r="582">
      <c r="D582" s="6"/>
      <c r="F582" s="6"/>
      <c r="G582" s="6"/>
    </row>
    <row r="583">
      <c r="D583" s="6"/>
      <c r="F583" s="6"/>
      <c r="G583" s="6"/>
    </row>
    <row r="584">
      <c r="D584" s="6"/>
      <c r="F584" s="6"/>
      <c r="G584" s="6"/>
    </row>
    <row r="585">
      <c r="D585" s="6"/>
      <c r="F585" s="6"/>
      <c r="G585" s="6"/>
    </row>
    <row r="586">
      <c r="D586" s="6"/>
      <c r="F586" s="6"/>
      <c r="G586" s="6"/>
    </row>
    <row r="587">
      <c r="D587" s="6"/>
      <c r="F587" s="6"/>
      <c r="G587" s="6"/>
    </row>
    <row r="588">
      <c r="D588" s="6"/>
      <c r="F588" s="6"/>
      <c r="G588" s="6"/>
    </row>
    <row r="589">
      <c r="D589" s="6"/>
      <c r="F589" s="6"/>
      <c r="G589" s="6"/>
    </row>
    <row r="590">
      <c r="D590" s="6"/>
      <c r="F590" s="6"/>
      <c r="G590" s="6"/>
    </row>
    <row r="591">
      <c r="D591" s="6"/>
      <c r="F591" s="6"/>
      <c r="G591" s="6"/>
    </row>
    <row r="592">
      <c r="D592" s="6"/>
      <c r="F592" s="6"/>
      <c r="G592" s="6"/>
    </row>
    <row r="593">
      <c r="D593" s="6"/>
      <c r="F593" s="6"/>
      <c r="G593" s="6"/>
    </row>
    <row r="594">
      <c r="D594" s="6"/>
      <c r="F594" s="6"/>
      <c r="G594" s="6"/>
    </row>
    <row r="595">
      <c r="D595" s="6"/>
      <c r="F595" s="6"/>
      <c r="G595" s="6"/>
    </row>
    <row r="596">
      <c r="D596" s="6"/>
      <c r="F596" s="6"/>
      <c r="G596" s="6"/>
    </row>
    <row r="597">
      <c r="D597" s="6"/>
      <c r="F597" s="6"/>
      <c r="G597" s="6"/>
    </row>
    <row r="598">
      <c r="D598" s="6"/>
      <c r="F598" s="6"/>
      <c r="G598" s="6"/>
    </row>
    <row r="599">
      <c r="D599" s="6"/>
      <c r="F599" s="6"/>
      <c r="G599" s="6"/>
    </row>
    <row r="600">
      <c r="D600" s="6"/>
      <c r="F600" s="6"/>
      <c r="G600" s="6"/>
    </row>
    <row r="601">
      <c r="D601" s="6"/>
      <c r="F601" s="6"/>
      <c r="G601" s="6"/>
    </row>
    <row r="602">
      <c r="D602" s="6"/>
      <c r="F602" s="6"/>
      <c r="G602" s="6"/>
    </row>
    <row r="603">
      <c r="D603" s="6"/>
      <c r="F603" s="6"/>
      <c r="G603" s="6"/>
    </row>
    <row r="604">
      <c r="D604" s="6"/>
      <c r="F604" s="6"/>
      <c r="G604" s="6"/>
    </row>
    <row r="605">
      <c r="D605" s="6"/>
      <c r="F605" s="6"/>
      <c r="G605" s="6"/>
    </row>
    <row r="606">
      <c r="D606" s="6"/>
      <c r="F606" s="6"/>
      <c r="G606" s="6"/>
    </row>
    <row r="607">
      <c r="D607" s="6"/>
      <c r="F607" s="6"/>
      <c r="G607" s="6"/>
    </row>
    <row r="608">
      <c r="D608" s="6"/>
      <c r="F608" s="6"/>
      <c r="G608" s="6"/>
    </row>
    <row r="609">
      <c r="D609" s="6"/>
      <c r="F609" s="6"/>
      <c r="G609" s="6"/>
    </row>
    <row r="610">
      <c r="D610" s="6"/>
      <c r="F610" s="6"/>
      <c r="G610" s="6"/>
    </row>
    <row r="611">
      <c r="D611" s="6"/>
      <c r="F611" s="6"/>
      <c r="G611" s="6"/>
    </row>
    <row r="612">
      <c r="D612" s="6"/>
      <c r="F612" s="6"/>
      <c r="G612" s="6"/>
    </row>
    <row r="613">
      <c r="D613" s="6"/>
      <c r="F613" s="6"/>
      <c r="G613" s="6"/>
    </row>
    <row r="614">
      <c r="D614" s="6"/>
      <c r="F614" s="6"/>
      <c r="G614" s="6"/>
    </row>
    <row r="615">
      <c r="D615" s="6"/>
      <c r="F615" s="6"/>
      <c r="G615" s="6"/>
    </row>
    <row r="616">
      <c r="D616" s="6"/>
      <c r="F616" s="6"/>
      <c r="G616" s="6"/>
    </row>
    <row r="617">
      <c r="D617" s="6"/>
      <c r="F617" s="6"/>
      <c r="G617" s="6"/>
    </row>
    <row r="618">
      <c r="D618" s="6"/>
      <c r="F618" s="6"/>
      <c r="G618" s="6"/>
    </row>
    <row r="619">
      <c r="D619" s="6"/>
      <c r="F619" s="6"/>
      <c r="G619" s="6"/>
    </row>
    <row r="620">
      <c r="D620" s="6"/>
      <c r="F620" s="6"/>
      <c r="G620" s="6"/>
    </row>
    <row r="621">
      <c r="D621" s="6"/>
      <c r="F621" s="6"/>
      <c r="G621" s="6"/>
    </row>
    <row r="622">
      <c r="D622" s="6"/>
      <c r="F622" s="6"/>
      <c r="G622" s="6"/>
    </row>
    <row r="623">
      <c r="D623" s="6"/>
      <c r="F623" s="6"/>
      <c r="G623" s="6"/>
    </row>
    <row r="624">
      <c r="D624" s="6"/>
      <c r="F624" s="6"/>
      <c r="G624" s="6"/>
    </row>
    <row r="625">
      <c r="D625" s="6"/>
      <c r="F625" s="6"/>
      <c r="G625" s="6"/>
    </row>
    <row r="626">
      <c r="D626" s="6"/>
      <c r="F626" s="6"/>
      <c r="G626" s="6"/>
    </row>
    <row r="627">
      <c r="D627" s="6"/>
      <c r="F627" s="6"/>
      <c r="G627" s="6"/>
    </row>
    <row r="628">
      <c r="D628" s="6"/>
      <c r="F628" s="6"/>
      <c r="G628" s="6"/>
    </row>
    <row r="629">
      <c r="D629" s="6"/>
      <c r="F629" s="6"/>
      <c r="G629" s="6"/>
    </row>
    <row r="630">
      <c r="D630" s="6"/>
      <c r="F630" s="6"/>
      <c r="G630" s="6"/>
    </row>
    <row r="631">
      <c r="D631" s="6"/>
      <c r="F631" s="6"/>
      <c r="G631" s="6"/>
    </row>
    <row r="632">
      <c r="D632" s="6"/>
      <c r="F632" s="6"/>
      <c r="G632" s="6"/>
    </row>
    <row r="633">
      <c r="D633" s="6"/>
      <c r="F633" s="6"/>
      <c r="G633" s="6"/>
    </row>
    <row r="634">
      <c r="D634" s="6"/>
      <c r="F634" s="6"/>
      <c r="G634" s="6"/>
    </row>
    <row r="635">
      <c r="D635" s="6"/>
      <c r="F635" s="6"/>
      <c r="G635" s="6"/>
    </row>
    <row r="636">
      <c r="D636" s="6"/>
      <c r="F636" s="6"/>
      <c r="G636" s="6"/>
    </row>
    <row r="637">
      <c r="D637" s="6"/>
      <c r="F637" s="6"/>
      <c r="G637" s="6"/>
    </row>
    <row r="638">
      <c r="D638" s="6"/>
      <c r="F638" s="6"/>
      <c r="G638" s="6"/>
    </row>
    <row r="639">
      <c r="D639" s="6"/>
      <c r="F639" s="6"/>
      <c r="G639" s="6"/>
    </row>
    <row r="640">
      <c r="D640" s="6"/>
      <c r="F640" s="6"/>
      <c r="G640" s="6"/>
    </row>
    <row r="641">
      <c r="D641" s="6"/>
      <c r="F641" s="6"/>
      <c r="G641" s="6"/>
    </row>
    <row r="642">
      <c r="D642" s="6"/>
      <c r="F642" s="6"/>
      <c r="G642" s="6"/>
    </row>
    <row r="643">
      <c r="D643" s="6"/>
      <c r="F643" s="6"/>
      <c r="G643" s="6"/>
    </row>
    <row r="644">
      <c r="D644" s="6"/>
      <c r="F644" s="6"/>
      <c r="G644" s="6"/>
    </row>
    <row r="645">
      <c r="D645" s="6"/>
      <c r="F645" s="6"/>
      <c r="G645" s="6"/>
    </row>
    <row r="646">
      <c r="D646" s="6"/>
      <c r="F646" s="6"/>
      <c r="G646" s="6"/>
    </row>
    <row r="647">
      <c r="D647" s="6"/>
      <c r="F647" s="6"/>
      <c r="G647" s="6"/>
    </row>
    <row r="648">
      <c r="D648" s="6"/>
      <c r="F648" s="6"/>
      <c r="G648" s="6"/>
    </row>
    <row r="649">
      <c r="D649" s="6"/>
      <c r="F649" s="6"/>
      <c r="G649" s="6"/>
    </row>
    <row r="650">
      <c r="D650" s="6"/>
      <c r="F650" s="6"/>
      <c r="G650" s="6"/>
    </row>
    <row r="651">
      <c r="D651" s="6"/>
      <c r="F651" s="6"/>
      <c r="G651" s="6"/>
    </row>
    <row r="652">
      <c r="D652" s="6"/>
      <c r="F652" s="6"/>
      <c r="G652" s="6"/>
    </row>
    <row r="653">
      <c r="D653" s="6"/>
      <c r="F653" s="6"/>
      <c r="G653" s="6"/>
    </row>
    <row r="654">
      <c r="D654" s="6"/>
      <c r="F654" s="6"/>
      <c r="G654" s="6"/>
    </row>
    <row r="655">
      <c r="D655" s="6"/>
      <c r="F655" s="6"/>
      <c r="G655" s="6"/>
    </row>
    <row r="656">
      <c r="D656" s="6"/>
      <c r="F656" s="6"/>
      <c r="G656" s="6"/>
    </row>
    <row r="657">
      <c r="D657" s="6"/>
      <c r="F657" s="6"/>
      <c r="G657" s="6"/>
    </row>
    <row r="658">
      <c r="D658" s="6"/>
      <c r="F658" s="6"/>
      <c r="G658" s="6"/>
    </row>
    <row r="659">
      <c r="D659" s="6"/>
      <c r="F659" s="6"/>
      <c r="G659" s="6"/>
    </row>
    <row r="660">
      <c r="D660" s="6"/>
      <c r="F660" s="6"/>
      <c r="G660" s="6"/>
    </row>
    <row r="661">
      <c r="D661" s="6"/>
      <c r="F661" s="6"/>
      <c r="G661" s="6"/>
    </row>
    <row r="662">
      <c r="D662" s="6"/>
      <c r="F662" s="6"/>
      <c r="G662" s="6"/>
    </row>
    <row r="663">
      <c r="D663" s="6"/>
      <c r="F663" s="6"/>
      <c r="G663" s="6"/>
    </row>
    <row r="664">
      <c r="D664" s="6"/>
      <c r="F664" s="6"/>
      <c r="G664" s="6"/>
    </row>
    <row r="665">
      <c r="D665" s="6"/>
      <c r="F665" s="6"/>
      <c r="G665" s="6"/>
    </row>
    <row r="666">
      <c r="D666" s="6"/>
      <c r="F666" s="6"/>
      <c r="G666" s="6"/>
    </row>
    <row r="667">
      <c r="D667" s="6"/>
      <c r="F667" s="6"/>
      <c r="G667" s="6"/>
    </row>
    <row r="668">
      <c r="D668" s="6"/>
      <c r="F668" s="6"/>
      <c r="G668" s="6"/>
    </row>
    <row r="669">
      <c r="D669" s="6"/>
      <c r="F669" s="6"/>
      <c r="G669" s="6"/>
    </row>
    <row r="670">
      <c r="D670" s="6"/>
      <c r="F670" s="6"/>
      <c r="G670" s="6"/>
    </row>
    <row r="671">
      <c r="D671" s="6"/>
      <c r="F671" s="6"/>
      <c r="G671" s="6"/>
    </row>
    <row r="672">
      <c r="D672" s="6"/>
      <c r="F672" s="6"/>
      <c r="G672" s="6"/>
    </row>
    <row r="673">
      <c r="D673" s="6"/>
      <c r="F673" s="6"/>
      <c r="G673" s="6"/>
    </row>
    <row r="674">
      <c r="D674" s="6"/>
      <c r="F674" s="6"/>
      <c r="G674" s="6"/>
    </row>
    <row r="675">
      <c r="D675" s="6"/>
      <c r="F675" s="6"/>
      <c r="G675" s="6"/>
    </row>
    <row r="676">
      <c r="D676" s="6"/>
      <c r="F676" s="6"/>
      <c r="G676" s="6"/>
    </row>
    <row r="677">
      <c r="D677" s="6"/>
      <c r="F677" s="6"/>
      <c r="G677" s="6"/>
    </row>
    <row r="678">
      <c r="D678" s="6"/>
      <c r="F678" s="6"/>
      <c r="G678" s="6"/>
    </row>
    <row r="679">
      <c r="D679" s="6"/>
      <c r="F679" s="6"/>
      <c r="G679" s="6"/>
    </row>
    <row r="680">
      <c r="D680" s="6"/>
      <c r="F680" s="6"/>
      <c r="G680" s="6"/>
    </row>
    <row r="681">
      <c r="D681" s="6"/>
      <c r="F681" s="6"/>
      <c r="G681" s="6"/>
    </row>
    <row r="682">
      <c r="D682" s="6"/>
      <c r="F682" s="6"/>
      <c r="G682" s="6"/>
    </row>
    <row r="683">
      <c r="D683" s="6"/>
      <c r="F683" s="6"/>
      <c r="G683" s="6"/>
    </row>
    <row r="684">
      <c r="D684" s="6"/>
      <c r="F684" s="6"/>
      <c r="G684" s="6"/>
    </row>
    <row r="685">
      <c r="D685" s="6"/>
      <c r="F685" s="6"/>
      <c r="G685" s="6"/>
    </row>
    <row r="686">
      <c r="D686" s="6"/>
      <c r="F686" s="6"/>
      <c r="G686" s="6"/>
    </row>
    <row r="687">
      <c r="D687" s="6"/>
      <c r="F687" s="6"/>
      <c r="G687" s="6"/>
    </row>
    <row r="688">
      <c r="D688" s="6"/>
      <c r="F688" s="6"/>
      <c r="G688" s="6"/>
    </row>
    <row r="689">
      <c r="D689" s="6"/>
      <c r="F689" s="6"/>
      <c r="G689" s="6"/>
    </row>
    <row r="690">
      <c r="D690" s="6"/>
      <c r="F690" s="6"/>
      <c r="G690" s="6"/>
    </row>
    <row r="691">
      <c r="D691" s="6"/>
      <c r="F691" s="6"/>
      <c r="G691" s="6"/>
    </row>
    <row r="692">
      <c r="D692" s="6"/>
      <c r="F692" s="6"/>
      <c r="G692" s="6"/>
    </row>
    <row r="693">
      <c r="D693" s="6"/>
      <c r="F693" s="6"/>
      <c r="G693" s="6"/>
    </row>
    <row r="694">
      <c r="D694" s="6"/>
      <c r="F694" s="6"/>
      <c r="G694" s="6"/>
    </row>
    <row r="695">
      <c r="D695" s="6"/>
      <c r="F695" s="6"/>
      <c r="G695" s="6"/>
    </row>
    <row r="696">
      <c r="D696" s="6"/>
      <c r="F696" s="6"/>
      <c r="G696" s="6"/>
    </row>
    <row r="697">
      <c r="D697" s="6"/>
      <c r="F697" s="6"/>
      <c r="G697" s="6"/>
    </row>
    <row r="698">
      <c r="D698" s="6"/>
      <c r="F698" s="6"/>
      <c r="G698" s="6"/>
    </row>
    <row r="699">
      <c r="D699" s="6"/>
      <c r="F699" s="6"/>
      <c r="G699" s="6"/>
    </row>
    <row r="700">
      <c r="D700" s="6"/>
      <c r="F700" s="6"/>
      <c r="G700" s="6"/>
    </row>
    <row r="701">
      <c r="D701" s="6"/>
      <c r="F701" s="6"/>
      <c r="G701" s="6"/>
    </row>
    <row r="702">
      <c r="D702" s="6"/>
      <c r="F702" s="6"/>
      <c r="G702" s="6"/>
    </row>
    <row r="703">
      <c r="D703" s="6"/>
      <c r="F703" s="6"/>
      <c r="G703" s="6"/>
    </row>
    <row r="704">
      <c r="D704" s="6"/>
      <c r="F704" s="6"/>
      <c r="G704" s="6"/>
    </row>
    <row r="705">
      <c r="D705" s="6"/>
      <c r="F705" s="6"/>
      <c r="G705" s="6"/>
    </row>
    <row r="706">
      <c r="D706" s="6"/>
      <c r="F706" s="6"/>
      <c r="G706" s="6"/>
    </row>
    <row r="707">
      <c r="D707" s="6"/>
      <c r="F707" s="6"/>
      <c r="G707" s="6"/>
    </row>
    <row r="708">
      <c r="D708" s="6"/>
      <c r="F708" s="6"/>
      <c r="G708" s="6"/>
    </row>
    <row r="709">
      <c r="D709" s="6"/>
      <c r="F709" s="6"/>
      <c r="G709" s="6"/>
    </row>
    <row r="710">
      <c r="D710" s="6"/>
      <c r="F710" s="6"/>
      <c r="G710" s="6"/>
    </row>
    <row r="711">
      <c r="D711" s="6"/>
      <c r="F711" s="6"/>
      <c r="G711" s="6"/>
    </row>
    <row r="712">
      <c r="D712" s="6"/>
      <c r="F712" s="6"/>
      <c r="G712" s="6"/>
    </row>
    <row r="713">
      <c r="D713" s="6"/>
      <c r="F713" s="6"/>
      <c r="G713" s="6"/>
    </row>
    <row r="714">
      <c r="D714" s="6"/>
      <c r="F714" s="6"/>
      <c r="G714" s="6"/>
    </row>
    <row r="715">
      <c r="D715" s="6"/>
      <c r="F715" s="6"/>
      <c r="G715" s="6"/>
    </row>
    <row r="716">
      <c r="D716" s="6"/>
      <c r="F716" s="6"/>
      <c r="G716" s="6"/>
    </row>
    <row r="717">
      <c r="D717" s="6"/>
      <c r="F717" s="6"/>
      <c r="G717" s="6"/>
    </row>
    <row r="718">
      <c r="D718" s="6"/>
      <c r="F718" s="6"/>
      <c r="G718" s="6"/>
    </row>
    <row r="719">
      <c r="D719" s="6"/>
      <c r="F719" s="6"/>
      <c r="G719" s="6"/>
    </row>
    <row r="720">
      <c r="D720" s="6"/>
      <c r="F720" s="6"/>
      <c r="G720" s="6"/>
    </row>
    <row r="721">
      <c r="D721" s="6"/>
      <c r="F721" s="6"/>
      <c r="G721" s="6"/>
    </row>
    <row r="722">
      <c r="D722" s="6"/>
      <c r="F722" s="6"/>
      <c r="G722" s="6"/>
    </row>
    <row r="723">
      <c r="D723" s="6"/>
      <c r="F723" s="6"/>
      <c r="G723" s="6"/>
    </row>
    <row r="724">
      <c r="D724" s="6"/>
      <c r="F724" s="6"/>
      <c r="G724" s="6"/>
    </row>
    <row r="725">
      <c r="D725" s="6"/>
      <c r="F725" s="6"/>
      <c r="G725" s="6"/>
    </row>
    <row r="726">
      <c r="D726" s="6"/>
      <c r="F726" s="6"/>
      <c r="G726" s="6"/>
    </row>
    <row r="727">
      <c r="D727" s="6"/>
      <c r="F727" s="6"/>
      <c r="G727" s="6"/>
    </row>
    <row r="728">
      <c r="D728" s="6"/>
      <c r="F728" s="6"/>
      <c r="G728" s="6"/>
    </row>
    <row r="729">
      <c r="D729" s="6"/>
      <c r="F729" s="6"/>
      <c r="G729" s="6"/>
    </row>
    <row r="730">
      <c r="D730" s="6"/>
      <c r="F730" s="6"/>
      <c r="G730" s="6"/>
    </row>
    <row r="731">
      <c r="D731" s="6"/>
      <c r="F731" s="6"/>
      <c r="G731" s="6"/>
    </row>
    <row r="732">
      <c r="D732" s="6"/>
      <c r="F732" s="6"/>
      <c r="G732" s="6"/>
    </row>
    <row r="733">
      <c r="D733" s="6"/>
      <c r="F733" s="6"/>
      <c r="G733" s="6"/>
    </row>
    <row r="734">
      <c r="D734" s="6"/>
      <c r="F734" s="6"/>
      <c r="G734" s="6"/>
    </row>
    <row r="735">
      <c r="D735" s="6"/>
      <c r="F735" s="6"/>
      <c r="G735" s="6"/>
    </row>
    <row r="736">
      <c r="D736" s="6"/>
      <c r="F736" s="6"/>
      <c r="G736" s="6"/>
    </row>
    <row r="737">
      <c r="D737" s="6"/>
      <c r="F737" s="6"/>
      <c r="G737" s="6"/>
    </row>
    <row r="738">
      <c r="D738" s="6"/>
      <c r="F738" s="6"/>
      <c r="G738" s="6"/>
    </row>
    <row r="739">
      <c r="D739" s="6"/>
      <c r="F739" s="6"/>
      <c r="G739" s="6"/>
    </row>
    <row r="740">
      <c r="D740" s="6"/>
      <c r="F740" s="6"/>
      <c r="G740" s="6"/>
    </row>
    <row r="741">
      <c r="D741" s="6"/>
      <c r="F741" s="6"/>
      <c r="G741" s="6"/>
    </row>
    <row r="742">
      <c r="D742" s="6"/>
      <c r="F742" s="6"/>
      <c r="G742" s="6"/>
    </row>
    <row r="743">
      <c r="D743" s="6"/>
      <c r="F743" s="6"/>
      <c r="G743" s="6"/>
    </row>
    <row r="744">
      <c r="D744" s="6"/>
      <c r="F744" s="6"/>
      <c r="G744" s="6"/>
    </row>
    <row r="745">
      <c r="D745" s="6"/>
      <c r="F745" s="6"/>
      <c r="G745" s="6"/>
    </row>
    <row r="746">
      <c r="D746" s="6"/>
      <c r="F746" s="6"/>
      <c r="G746" s="6"/>
    </row>
    <row r="747">
      <c r="D747" s="6"/>
      <c r="F747" s="6"/>
      <c r="G747" s="6"/>
    </row>
    <row r="748">
      <c r="D748" s="6"/>
      <c r="F748" s="6"/>
      <c r="G748" s="6"/>
    </row>
    <row r="749">
      <c r="D749" s="6"/>
      <c r="F749" s="6"/>
      <c r="G749" s="6"/>
    </row>
    <row r="750">
      <c r="D750" s="6"/>
      <c r="F750" s="6"/>
      <c r="G750" s="6"/>
    </row>
    <row r="751">
      <c r="D751" s="6"/>
      <c r="F751" s="6"/>
      <c r="G751" s="6"/>
    </row>
    <row r="752">
      <c r="D752" s="6"/>
      <c r="F752" s="6"/>
      <c r="G752" s="6"/>
    </row>
    <row r="753">
      <c r="D753" s="6"/>
      <c r="F753" s="6"/>
      <c r="G753" s="6"/>
    </row>
    <row r="754">
      <c r="D754" s="6"/>
      <c r="F754" s="6"/>
      <c r="G754" s="6"/>
    </row>
    <row r="755">
      <c r="D755" s="6"/>
      <c r="F755" s="6"/>
      <c r="G755" s="6"/>
    </row>
    <row r="756">
      <c r="D756" s="6"/>
      <c r="F756" s="6"/>
      <c r="G756" s="6"/>
    </row>
    <row r="757">
      <c r="D757" s="6"/>
      <c r="F757" s="6"/>
      <c r="G757" s="6"/>
    </row>
    <row r="758">
      <c r="D758" s="6"/>
      <c r="F758" s="6"/>
      <c r="G758" s="6"/>
    </row>
    <row r="759">
      <c r="D759" s="6"/>
      <c r="F759" s="6"/>
      <c r="G759" s="6"/>
    </row>
    <row r="760">
      <c r="D760" s="6"/>
      <c r="F760" s="6"/>
      <c r="G760" s="6"/>
    </row>
    <row r="761">
      <c r="D761" s="6"/>
      <c r="F761" s="6"/>
      <c r="G761" s="6"/>
    </row>
    <row r="762">
      <c r="D762" s="6"/>
      <c r="F762" s="6"/>
      <c r="G762" s="6"/>
    </row>
    <row r="763">
      <c r="D763" s="6"/>
      <c r="F763" s="6"/>
      <c r="G763" s="6"/>
    </row>
    <row r="764">
      <c r="D764" s="6"/>
      <c r="F764" s="6"/>
      <c r="G764" s="6"/>
    </row>
    <row r="765">
      <c r="D765" s="6"/>
      <c r="F765" s="6"/>
      <c r="G765" s="6"/>
    </row>
    <row r="766">
      <c r="D766" s="6"/>
      <c r="F766" s="6"/>
      <c r="G766" s="6"/>
    </row>
    <row r="767">
      <c r="D767" s="6"/>
      <c r="F767" s="6"/>
      <c r="G767" s="6"/>
    </row>
    <row r="768">
      <c r="D768" s="6"/>
      <c r="F768" s="6"/>
      <c r="G768" s="6"/>
    </row>
    <row r="769">
      <c r="D769" s="6"/>
      <c r="F769" s="6"/>
      <c r="G769" s="6"/>
    </row>
    <row r="770">
      <c r="D770" s="6"/>
      <c r="F770" s="6"/>
      <c r="G770" s="6"/>
    </row>
    <row r="771">
      <c r="D771" s="6"/>
      <c r="F771" s="6"/>
      <c r="G771" s="6"/>
    </row>
    <row r="772">
      <c r="D772" s="6"/>
      <c r="F772" s="6"/>
      <c r="G772" s="6"/>
    </row>
    <row r="773">
      <c r="D773" s="6"/>
      <c r="F773" s="6"/>
      <c r="G773" s="6"/>
    </row>
    <row r="774">
      <c r="D774" s="6"/>
      <c r="F774" s="6"/>
      <c r="G774" s="6"/>
    </row>
    <row r="775">
      <c r="D775" s="6"/>
      <c r="F775" s="6"/>
      <c r="G775" s="6"/>
    </row>
    <row r="776">
      <c r="D776" s="6"/>
      <c r="F776" s="6"/>
      <c r="G776" s="6"/>
    </row>
    <row r="777">
      <c r="D777" s="6"/>
      <c r="F777" s="6"/>
      <c r="G777" s="6"/>
    </row>
    <row r="778">
      <c r="D778" s="6"/>
      <c r="F778" s="6"/>
      <c r="G778" s="6"/>
    </row>
    <row r="779">
      <c r="D779" s="6"/>
      <c r="F779" s="6"/>
      <c r="G779" s="6"/>
    </row>
    <row r="780">
      <c r="D780" s="6"/>
      <c r="F780" s="6"/>
      <c r="G780" s="6"/>
    </row>
    <row r="781">
      <c r="D781" s="6"/>
      <c r="F781" s="6"/>
      <c r="G781" s="6"/>
    </row>
    <row r="782">
      <c r="D782" s="6"/>
      <c r="F782" s="6"/>
      <c r="G782" s="6"/>
    </row>
    <row r="783">
      <c r="D783" s="6"/>
      <c r="F783" s="6"/>
      <c r="G783" s="6"/>
    </row>
    <row r="784">
      <c r="D784" s="6"/>
      <c r="F784" s="6"/>
      <c r="G784" s="6"/>
    </row>
    <row r="785">
      <c r="D785" s="6"/>
      <c r="F785" s="6"/>
      <c r="G785" s="6"/>
    </row>
    <row r="786">
      <c r="D786" s="6"/>
      <c r="F786" s="6"/>
      <c r="G786" s="6"/>
    </row>
    <row r="787">
      <c r="D787" s="6"/>
      <c r="F787" s="6"/>
      <c r="G787" s="6"/>
    </row>
    <row r="788">
      <c r="D788" s="6"/>
      <c r="F788" s="6"/>
      <c r="G788" s="6"/>
    </row>
    <row r="789">
      <c r="D789" s="6"/>
      <c r="F789" s="6"/>
      <c r="G789" s="6"/>
    </row>
    <row r="790">
      <c r="D790" s="6"/>
      <c r="F790" s="6"/>
      <c r="G790" s="6"/>
    </row>
    <row r="791">
      <c r="D791" s="6"/>
      <c r="F791" s="6"/>
      <c r="G791" s="6"/>
    </row>
    <row r="792">
      <c r="D792" s="6"/>
      <c r="F792" s="6"/>
      <c r="G792" s="6"/>
    </row>
    <row r="793">
      <c r="D793" s="6"/>
      <c r="F793" s="6"/>
      <c r="G793" s="6"/>
    </row>
    <row r="794">
      <c r="D794" s="6"/>
      <c r="F794" s="6"/>
      <c r="G794" s="6"/>
    </row>
    <row r="795">
      <c r="D795" s="6"/>
      <c r="F795" s="6"/>
      <c r="G795" s="6"/>
    </row>
    <row r="796">
      <c r="D796" s="6"/>
      <c r="F796" s="6"/>
      <c r="G796" s="6"/>
    </row>
    <row r="797">
      <c r="D797" s="6"/>
      <c r="F797" s="6"/>
      <c r="G797" s="6"/>
    </row>
    <row r="798">
      <c r="D798" s="6"/>
      <c r="F798" s="6"/>
      <c r="G798" s="6"/>
    </row>
    <row r="799">
      <c r="D799" s="6"/>
      <c r="F799" s="6"/>
      <c r="G799" s="6"/>
    </row>
    <row r="800">
      <c r="D800" s="6"/>
      <c r="F800" s="6"/>
      <c r="G800" s="6"/>
    </row>
    <row r="801">
      <c r="D801" s="6"/>
      <c r="F801" s="6"/>
      <c r="G801" s="6"/>
    </row>
    <row r="802">
      <c r="D802" s="6"/>
      <c r="F802" s="6"/>
      <c r="G802" s="6"/>
    </row>
    <row r="803">
      <c r="D803" s="6"/>
      <c r="F803" s="6"/>
      <c r="G803" s="6"/>
    </row>
    <row r="804">
      <c r="D804" s="6"/>
      <c r="F804" s="6"/>
      <c r="G804" s="6"/>
    </row>
    <row r="805">
      <c r="D805" s="6"/>
      <c r="F805" s="6"/>
      <c r="G805" s="6"/>
    </row>
    <row r="806">
      <c r="D806" s="6"/>
      <c r="F806" s="6"/>
      <c r="G806" s="6"/>
    </row>
    <row r="807">
      <c r="D807" s="6"/>
      <c r="F807" s="6"/>
      <c r="G807" s="6"/>
    </row>
    <row r="808">
      <c r="D808" s="6"/>
      <c r="F808" s="6"/>
      <c r="G808" s="6"/>
    </row>
    <row r="809">
      <c r="D809" s="6"/>
      <c r="F809" s="6"/>
      <c r="G809" s="6"/>
    </row>
    <row r="810">
      <c r="D810" s="6"/>
      <c r="F810" s="6"/>
      <c r="G810" s="6"/>
    </row>
    <row r="811">
      <c r="D811" s="6"/>
      <c r="F811" s="6"/>
      <c r="G811" s="6"/>
    </row>
    <row r="812">
      <c r="D812" s="6"/>
      <c r="F812" s="6"/>
      <c r="G812" s="6"/>
    </row>
    <row r="813">
      <c r="D813" s="6"/>
      <c r="F813" s="6"/>
      <c r="G813" s="6"/>
    </row>
    <row r="814">
      <c r="D814" s="6"/>
      <c r="F814" s="6"/>
      <c r="G814" s="6"/>
    </row>
    <row r="815">
      <c r="D815" s="6"/>
      <c r="F815" s="6"/>
      <c r="G815" s="6"/>
    </row>
    <row r="816">
      <c r="D816" s="6"/>
      <c r="F816" s="6"/>
      <c r="G816" s="6"/>
    </row>
    <row r="817">
      <c r="D817" s="6"/>
      <c r="F817" s="6"/>
      <c r="G817" s="6"/>
    </row>
    <row r="818">
      <c r="D818" s="6"/>
      <c r="F818" s="6"/>
      <c r="G818" s="6"/>
    </row>
    <row r="819">
      <c r="D819" s="6"/>
      <c r="F819" s="6"/>
      <c r="G819" s="6"/>
    </row>
    <row r="820">
      <c r="D820" s="6"/>
      <c r="F820" s="6"/>
      <c r="G820" s="6"/>
    </row>
    <row r="821">
      <c r="D821" s="6"/>
      <c r="F821" s="6"/>
      <c r="G821" s="6"/>
    </row>
    <row r="822">
      <c r="D822" s="6"/>
      <c r="F822" s="6"/>
      <c r="G822" s="6"/>
    </row>
    <row r="823">
      <c r="D823" s="6"/>
      <c r="F823" s="6"/>
      <c r="G823" s="6"/>
    </row>
    <row r="824">
      <c r="D824" s="6"/>
      <c r="F824" s="6"/>
      <c r="G824" s="6"/>
    </row>
    <row r="825">
      <c r="D825" s="6"/>
      <c r="F825" s="6"/>
      <c r="G825" s="6"/>
    </row>
    <row r="826">
      <c r="D826" s="6"/>
      <c r="F826" s="6"/>
      <c r="G826" s="6"/>
    </row>
    <row r="827">
      <c r="D827" s="6"/>
      <c r="F827" s="6"/>
      <c r="G827" s="6"/>
    </row>
    <row r="828">
      <c r="D828" s="6"/>
      <c r="F828" s="6"/>
      <c r="G828" s="6"/>
    </row>
    <row r="829">
      <c r="D829" s="6"/>
      <c r="F829" s="6"/>
      <c r="G829" s="6"/>
    </row>
    <row r="830">
      <c r="D830" s="6"/>
      <c r="F830" s="6"/>
      <c r="G830" s="6"/>
    </row>
    <row r="831">
      <c r="D831" s="6"/>
      <c r="F831" s="6"/>
      <c r="G831" s="6"/>
    </row>
    <row r="832">
      <c r="D832" s="6"/>
      <c r="F832" s="6"/>
      <c r="G832" s="6"/>
    </row>
    <row r="833">
      <c r="D833" s="6"/>
      <c r="F833" s="6"/>
      <c r="G833" s="6"/>
    </row>
    <row r="834">
      <c r="D834" s="6"/>
      <c r="F834" s="6"/>
      <c r="G834" s="6"/>
    </row>
    <row r="835">
      <c r="D835" s="6"/>
      <c r="F835" s="6"/>
      <c r="G835" s="6"/>
    </row>
    <row r="836">
      <c r="D836" s="6"/>
      <c r="F836" s="6"/>
      <c r="G836" s="6"/>
    </row>
    <row r="837">
      <c r="D837" s="6"/>
      <c r="F837" s="6"/>
      <c r="G837" s="6"/>
    </row>
    <row r="838">
      <c r="D838" s="6"/>
      <c r="F838" s="6"/>
      <c r="G838" s="6"/>
    </row>
    <row r="839">
      <c r="D839" s="6"/>
      <c r="F839" s="6"/>
      <c r="G839" s="6"/>
    </row>
    <row r="840">
      <c r="D840" s="6"/>
      <c r="F840" s="6"/>
      <c r="G840" s="6"/>
    </row>
    <row r="841">
      <c r="D841" s="6"/>
      <c r="F841" s="6"/>
      <c r="G841" s="6"/>
    </row>
    <row r="842">
      <c r="D842" s="6"/>
      <c r="F842" s="6"/>
      <c r="G842" s="6"/>
    </row>
    <row r="843">
      <c r="D843" s="6"/>
      <c r="F843" s="6"/>
      <c r="G843" s="6"/>
    </row>
    <row r="844">
      <c r="D844" s="6"/>
      <c r="F844" s="6"/>
      <c r="G844" s="6"/>
    </row>
    <row r="845">
      <c r="D845" s="6"/>
      <c r="F845" s="6"/>
      <c r="G845" s="6"/>
    </row>
    <row r="846">
      <c r="D846" s="6"/>
      <c r="F846" s="6"/>
      <c r="G846" s="6"/>
    </row>
    <row r="847">
      <c r="D847" s="6"/>
      <c r="F847" s="6"/>
      <c r="G847" s="6"/>
    </row>
    <row r="848">
      <c r="D848" s="6"/>
      <c r="F848" s="6"/>
      <c r="G848" s="6"/>
    </row>
    <row r="849">
      <c r="D849" s="6"/>
      <c r="F849" s="6"/>
      <c r="G849" s="6"/>
    </row>
    <row r="850">
      <c r="D850" s="6"/>
      <c r="F850" s="6"/>
      <c r="G850" s="6"/>
    </row>
    <row r="851">
      <c r="D851" s="6"/>
      <c r="F851" s="6"/>
      <c r="G851" s="6"/>
    </row>
    <row r="852">
      <c r="D852" s="6"/>
      <c r="F852" s="6"/>
      <c r="G852" s="6"/>
    </row>
    <row r="853">
      <c r="D853" s="6"/>
      <c r="F853" s="6"/>
      <c r="G853" s="6"/>
    </row>
    <row r="854">
      <c r="D854" s="6"/>
      <c r="F854" s="6"/>
      <c r="G854" s="6"/>
    </row>
    <row r="855">
      <c r="D855" s="6"/>
      <c r="F855" s="6"/>
      <c r="G855" s="6"/>
    </row>
    <row r="856">
      <c r="D856" s="6"/>
      <c r="F856" s="6"/>
      <c r="G856" s="6"/>
    </row>
    <row r="857">
      <c r="D857" s="6"/>
      <c r="F857" s="6"/>
      <c r="G857" s="6"/>
    </row>
    <row r="858">
      <c r="D858" s="6"/>
      <c r="F858" s="6"/>
      <c r="G858" s="6"/>
    </row>
    <row r="859">
      <c r="D859" s="6"/>
      <c r="F859" s="6"/>
      <c r="G859" s="6"/>
    </row>
    <row r="860">
      <c r="D860" s="6"/>
      <c r="F860" s="6"/>
      <c r="G860" s="6"/>
    </row>
    <row r="861">
      <c r="D861" s="6"/>
      <c r="F861" s="6"/>
      <c r="G861" s="6"/>
    </row>
    <row r="862">
      <c r="D862" s="6"/>
      <c r="F862" s="6"/>
      <c r="G862" s="6"/>
    </row>
    <row r="863">
      <c r="D863" s="6"/>
      <c r="F863" s="6"/>
      <c r="G863" s="6"/>
    </row>
    <row r="864">
      <c r="D864" s="6"/>
      <c r="F864" s="6"/>
      <c r="G864" s="6"/>
    </row>
    <row r="865">
      <c r="D865" s="6"/>
      <c r="F865" s="6"/>
      <c r="G865" s="6"/>
    </row>
    <row r="866">
      <c r="D866" s="6"/>
      <c r="F866" s="6"/>
      <c r="G866" s="6"/>
    </row>
    <row r="867">
      <c r="D867" s="6"/>
      <c r="F867" s="6"/>
      <c r="G867" s="6"/>
    </row>
    <row r="868">
      <c r="D868" s="6"/>
      <c r="F868" s="6"/>
      <c r="G868" s="6"/>
    </row>
    <row r="869">
      <c r="D869" s="6"/>
      <c r="F869" s="6"/>
      <c r="G869" s="6"/>
    </row>
    <row r="870">
      <c r="D870" s="6"/>
      <c r="F870" s="6"/>
      <c r="G870" s="6"/>
    </row>
    <row r="871">
      <c r="D871" s="6"/>
      <c r="F871" s="6"/>
      <c r="G871" s="6"/>
    </row>
    <row r="872">
      <c r="D872" s="6"/>
      <c r="F872" s="6"/>
      <c r="G872" s="6"/>
    </row>
    <row r="873">
      <c r="D873" s="6"/>
      <c r="F873" s="6"/>
      <c r="G873" s="6"/>
    </row>
    <row r="874">
      <c r="D874" s="6"/>
      <c r="F874" s="6"/>
      <c r="G874" s="6"/>
    </row>
    <row r="875">
      <c r="D875" s="6"/>
      <c r="F875" s="6"/>
      <c r="G875" s="6"/>
    </row>
    <row r="876">
      <c r="D876" s="6"/>
      <c r="F876" s="6"/>
      <c r="G876" s="6"/>
    </row>
    <row r="877">
      <c r="D877" s="6"/>
      <c r="F877" s="6"/>
      <c r="G877" s="6"/>
    </row>
    <row r="878">
      <c r="D878" s="6"/>
      <c r="F878" s="6"/>
      <c r="G878" s="6"/>
    </row>
    <row r="879">
      <c r="D879" s="6"/>
      <c r="F879" s="6"/>
      <c r="G879" s="6"/>
    </row>
    <row r="880">
      <c r="D880" s="6"/>
      <c r="F880" s="6"/>
      <c r="G880" s="6"/>
    </row>
    <row r="881">
      <c r="D881" s="6"/>
      <c r="F881" s="6"/>
      <c r="G881" s="6"/>
    </row>
    <row r="882">
      <c r="D882" s="6"/>
      <c r="F882" s="6"/>
      <c r="G882" s="6"/>
    </row>
    <row r="883">
      <c r="D883" s="6"/>
      <c r="F883" s="6"/>
      <c r="G883" s="6"/>
    </row>
    <row r="884">
      <c r="D884" s="6"/>
      <c r="F884" s="6"/>
      <c r="G884" s="6"/>
    </row>
    <row r="885">
      <c r="D885" s="6"/>
      <c r="F885" s="6"/>
      <c r="G885" s="6"/>
    </row>
    <row r="886">
      <c r="D886" s="6"/>
      <c r="F886" s="6"/>
      <c r="G886" s="6"/>
    </row>
    <row r="887">
      <c r="D887" s="6"/>
      <c r="F887" s="6"/>
      <c r="G887" s="6"/>
    </row>
    <row r="888">
      <c r="D888" s="6"/>
      <c r="F888" s="6"/>
      <c r="G888" s="6"/>
    </row>
    <row r="889">
      <c r="D889" s="6"/>
      <c r="F889" s="6"/>
      <c r="G889" s="6"/>
    </row>
    <row r="890">
      <c r="D890" s="6"/>
      <c r="F890" s="6"/>
      <c r="G890" s="6"/>
    </row>
    <row r="891">
      <c r="D891" s="6"/>
      <c r="F891" s="6"/>
      <c r="G891" s="6"/>
    </row>
    <row r="892">
      <c r="D892" s="6"/>
      <c r="F892" s="6"/>
      <c r="G892" s="6"/>
    </row>
    <row r="893">
      <c r="D893" s="6"/>
      <c r="F893" s="6"/>
      <c r="G893" s="6"/>
    </row>
    <row r="894">
      <c r="D894" s="6"/>
      <c r="F894" s="6"/>
      <c r="G894" s="6"/>
    </row>
    <row r="895">
      <c r="D895" s="6"/>
      <c r="F895" s="6"/>
      <c r="G895" s="6"/>
    </row>
    <row r="896">
      <c r="D896" s="6"/>
      <c r="F896" s="6"/>
      <c r="G896" s="6"/>
    </row>
    <row r="897">
      <c r="D897" s="6"/>
      <c r="F897" s="6"/>
      <c r="G897" s="6"/>
    </row>
    <row r="898">
      <c r="D898" s="6"/>
      <c r="F898" s="6"/>
      <c r="G898" s="6"/>
    </row>
    <row r="899">
      <c r="D899" s="6"/>
      <c r="F899" s="6"/>
      <c r="G899" s="6"/>
    </row>
    <row r="900">
      <c r="D900" s="6"/>
      <c r="F900" s="6"/>
      <c r="G900" s="6"/>
    </row>
    <row r="901">
      <c r="D901" s="6"/>
      <c r="F901" s="6"/>
      <c r="G901" s="6"/>
    </row>
    <row r="902">
      <c r="D902" s="6"/>
      <c r="F902" s="6"/>
      <c r="G902" s="6"/>
    </row>
    <row r="903">
      <c r="D903" s="6"/>
      <c r="F903" s="6"/>
      <c r="G903" s="6"/>
    </row>
    <row r="904">
      <c r="D904" s="6"/>
      <c r="F904" s="6"/>
      <c r="G904" s="6"/>
    </row>
    <row r="905">
      <c r="D905" s="6"/>
      <c r="F905" s="6"/>
      <c r="G905" s="6"/>
    </row>
    <row r="906">
      <c r="D906" s="6"/>
      <c r="F906" s="6"/>
      <c r="G906" s="6"/>
    </row>
    <row r="907">
      <c r="D907" s="6"/>
      <c r="F907" s="6"/>
      <c r="G907" s="6"/>
    </row>
    <row r="908">
      <c r="D908" s="6"/>
      <c r="F908" s="6"/>
      <c r="G908" s="6"/>
    </row>
    <row r="909">
      <c r="D909" s="6"/>
      <c r="F909" s="6"/>
      <c r="G909" s="6"/>
    </row>
    <row r="910">
      <c r="D910" s="6"/>
      <c r="F910" s="6"/>
      <c r="G910" s="6"/>
    </row>
    <row r="911">
      <c r="D911" s="6"/>
      <c r="F911" s="6"/>
      <c r="G911" s="6"/>
    </row>
    <row r="912">
      <c r="D912" s="6"/>
      <c r="F912" s="6"/>
      <c r="G912" s="6"/>
    </row>
    <row r="913">
      <c r="D913" s="6"/>
      <c r="F913" s="6"/>
      <c r="G913" s="6"/>
    </row>
    <row r="914">
      <c r="D914" s="6"/>
      <c r="F914" s="6"/>
      <c r="G914" s="6"/>
    </row>
    <row r="915">
      <c r="D915" s="6"/>
      <c r="F915" s="6"/>
      <c r="G915" s="6"/>
    </row>
    <row r="916">
      <c r="D916" s="6"/>
      <c r="F916" s="6"/>
      <c r="G916" s="6"/>
    </row>
    <row r="917">
      <c r="D917" s="6"/>
      <c r="F917" s="6"/>
      <c r="G917" s="6"/>
    </row>
    <row r="918">
      <c r="D918" s="6"/>
      <c r="F918" s="6"/>
      <c r="G918" s="6"/>
    </row>
    <row r="919">
      <c r="D919" s="6"/>
      <c r="F919" s="6"/>
      <c r="G919" s="6"/>
    </row>
    <row r="920">
      <c r="D920" s="6"/>
      <c r="F920" s="6"/>
      <c r="G920" s="6"/>
    </row>
    <row r="921">
      <c r="D921" s="6"/>
      <c r="F921" s="6"/>
      <c r="G921" s="6"/>
    </row>
    <row r="922">
      <c r="D922" s="6"/>
      <c r="F922" s="6"/>
      <c r="G922" s="6"/>
    </row>
    <row r="923">
      <c r="D923" s="6"/>
      <c r="F923" s="6"/>
      <c r="G923" s="6"/>
    </row>
    <row r="924">
      <c r="D924" s="6"/>
      <c r="F924" s="6"/>
      <c r="G924" s="6"/>
    </row>
    <row r="925">
      <c r="D925" s="6"/>
      <c r="F925" s="6"/>
      <c r="G925" s="6"/>
    </row>
    <row r="926">
      <c r="D926" s="6"/>
      <c r="F926" s="6"/>
      <c r="G926" s="6"/>
    </row>
    <row r="927">
      <c r="D927" s="6"/>
      <c r="F927" s="6"/>
      <c r="G927" s="6"/>
    </row>
    <row r="928">
      <c r="D928" s="6"/>
      <c r="F928" s="6"/>
      <c r="G928" s="6"/>
    </row>
    <row r="929">
      <c r="D929" s="6"/>
      <c r="F929" s="6"/>
      <c r="G929" s="6"/>
    </row>
    <row r="930">
      <c r="D930" s="6"/>
      <c r="F930" s="6"/>
      <c r="G930" s="6"/>
    </row>
    <row r="931">
      <c r="D931" s="6"/>
      <c r="F931" s="6"/>
      <c r="G931" s="6"/>
    </row>
    <row r="932">
      <c r="D932" s="6"/>
      <c r="F932" s="6"/>
      <c r="G932" s="6"/>
    </row>
    <row r="933">
      <c r="D933" s="6"/>
      <c r="F933" s="6"/>
      <c r="G933" s="6"/>
    </row>
    <row r="934">
      <c r="D934" s="6"/>
      <c r="F934" s="6"/>
      <c r="G934" s="6"/>
    </row>
    <row r="935">
      <c r="D935" s="6"/>
      <c r="F935" s="6"/>
      <c r="G935" s="6"/>
    </row>
    <row r="936">
      <c r="D936" s="6"/>
      <c r="F936" s="6"/>
      <c r="G936" s="6"/>
    </row>
    <row r="937">
      <c r="D937" s="6"/>
      <c r="F937" s="6"/>
      <c r="G937" s="6"/>
    </row>
    <row r="938">
      <c r="D938" s="6"/>
      <c r="F938" s="6"/>
      <c r="G938" s="6"/>
    </row>
    <row r="939">
      <c r="D939" s="6"/>
      <c r="F939" s="6"/>
      <c r="G939" s="6"/>
    </row>
    <row r="940">
      <c r="D940" s="6"/>
      <c r="F940" s="6"/>
      <c r="G940" s="6"/>
    </row>
    <row r="941">
      <c r="D941" s="6"/>
      <c r="F941" s="6"/>
      <c r="G941" s="6"/>
    </row>
    <row r="942">
      <c r="D942" s="6"/>
      <c r="F942" s="6"/>
      <c r="G942" s="6"/>
    </row>
    <row r="943">
      <c r="D943" s="6"/>
      <c r="F943" s="6"/>
      <c r="G943" s="6"/>
    </row>
    <row r="944">
      <c r="D944" s="6"/>
      <c r="F944" s="6"/>
      <c r="G944" s="6"/>
    </row>
    <row r="945">
      <c r="D945" s="6"/>
      <c r="F945" s="6"/>
      <c r="G945" s="6"/>
    </row>
    <row r="946">
      <c r="D946" s="6"/>
      <c r="F946" s="6"/>
      <c r="G946" s="6"/>
    </row>
    <row r="947">
      <c r="D947" s="6"/>
      <c r="F947" s="6"/>
      <c r="G947" s="6"/>
    </row>
    <row r="948">
      <c r="D948" s="6"/>
      <c r="F948" s="6"/>
      <c r="G948" s="6"/>
    </row>
    <row r="949">
      <c r="D949" s="6"/>
      <c r="F949" s="6"/>
      <c r="G949" s="6"/>
    </row>
    <row r="950">
      <c r="D950" s="6"/>
      <c r="F950" s="6"/>
      <c r="G950" s="6"/>
    </row>
    <row r="951">
      <c r="D951" s="6"/>
      <c r="F951" s="6"/>
      <c r="G951" s="6"/>
    </row>
    <row r="952">
      <c r="D952" s="6"/>
      <c r="F952" s="6"/>
      <c r="G952" s="6"/>
    </row>
    <row r="953">
      <c r="D953" s="6"/>
      <c r="F953" s="6"/>
      <c r="G953" s="6"/>
    </row>
    <row r="954">
      <c r="D954" s="6"/>
      <c r="F954" s="6"/>
      <c r="G954" s="6"/>
    </row>
    <row r="955">
      <c r="D955" s="6"/>
      <c r="F955" s="6"/>
      <c r="G955" s="6"/>
    </row>
    <row r="956">
      <c r="D956" s="6"/>
      <c r="F956" s="6"/>
      <c r="G956" s="6"/>
    </row>
    <row r="957">
      <c r="D957" s="6"/>
      <c r="F957" s="6"/>
      <c r="G957" s="6"/>
    </row>
    <row r="958">
      <c r="D958" s="6"/>
      <c r="F958" s="6"/>
      <c r="G958" s="6"/>
    </row>
    <row r="959">
      <c r="D959" s="6"/>
      <c r="F959" s="6"/>
      <c r="G959" s="6"/>
    </row>
    <row r="960">
      <c r="D960" s="6"/>
      <c r="F960" s="6"/>
      <c r="G960" s="6"/>
    </row>
    <row r="961">
      <c r="D961" s="6"/>
      <c r="F961" s="6"/>
      <c r="G961" s="6"/>
    </row>
    <row r="962">
      <c r="D962" s="6"/>
      <c r="F962" s="6"/>
      <c r="G962" s="6"/>
    </row>
    <row r="963">
      <c r="D963" s="6"/>
      <c r="F963" s="6"/>
      <c r="G963" s="6"/>
    </row>
    <row r="964">
      <c r="D964" s="6"/>
      <c r="F964" s="6"/>
      <c r="G964" s="6"/>
    </row>
    <row r="965">
      <c r="D965" s="6"/>
      <c r="F965" s="6"/>
      <c r="G965" s="6"/>
    </row>
    <row r="966">
      <c r="D966" s="6"/>
      <c r="F966" s="6"/>
      <c r="G966" s="6"/>
    </row>
    <row r="967">
      <c r="D967" s="6"/>
      <c r="F967" s="6"/>
      <c r="G967" s="6"/>
    </row>
    <row r="968">
      <c r="D968" s="6"/>
      <c r="F968" s="6"/>
      <c r="G968" s="6"/>
    </row>
    <row r="969">
      <c r="D969" s="6"/>
      <c r="F969" s="6"/>
      <c r="G969" s="6"/>
    </row>
    <row r="970">
      <c r="D970" s="6"/>
      <c r="F970" s="6"/>
      <c r="G970" s="6"/>
    </row>
    <row r="971">
      <c r="D971" s="6"/>
      <c r="F971" s="6"/>
      <c r="G971" s="6"/>
    </row>
    <row r="972">
      <c r="D972" s="6"/>
      <c r="F972" s="6"/>
      <c r="G972" s="6"/>
    </row>
    <row r="973">
      <c r="D973" s="6"/>
      <c r="F973" s="6"/>
      <c r="G973" s="6"/>
    </row>
    <row r="974">
      <c r="D974" s="6"/>
      <c r="F974" s="6"/>
      <c r="G974" s="6"/>
    </row>
    <row r="975">
      <c r="D975" s="6"/>
      <c r="F975" s="6"/>
      <c r="G975" s="6"/>
    </row>
    <row r="976">
      <c r="D976" s="6"/>
      <c r="F976" s="6"/>
      <c r="G976" s="6"/>
    </row>
    <row r="977">
      <c r="D977" s="6"/>
      <c r="F977" s="6"/>
      <c r="G977" s="6"/>
    </row>
    <row r="978">
      <c r="D978" s="6"/>
      <c r="F978" s="6"/>
      <c r="G978" s="6"/>
    </row>
    <row r="979">
      <c r="D979" s="6"/>
      <c r="F979" s="6"/>
      <c r="G979" s="6"/>
    </row>
    <row r="980">
      <c r="D980" s="6"/>
      <c r="F980" s="6"/>
      <c r="G980" s="6"/>
    </row>
    <row r="981">
      <c r="D981" s="6"/>
      <c r="F981" s="6"/>
      <c r="G981" s="6"/>
    </row>
    <row r="982">
      <c r="D982" s="6"/>
      <c r="F982" s="6"/>
      <c r="G982" s="6"/>
    </row>
    <row r="983">
      <c r="D983" s="6"/>
      <c r="F983" s="6"/>
      <c r="G983" s="6"/>
    </row>
    <row r="984">
      <c r="D984" s="6"/>
      <c r="F984" s="6"/>
      <c r="G984" s="6"/>
    </row>
    <row r="985">
      <c r="D985" s="6"/>
      <c r="F985" s="6"/>
      <c r="G985" s="6"/>
    </row>
    <row r="986">
      <c r="D986" s="6"/>
      <c r="F986" s="6"/>
      <c r="G986" s="6"/>
    </row>
    <row r="987">
      <c r="D987" s="6"/>
      <c r="F987" s="6"/>
      <c r="G987" s="6"/>
    </row>
    <row r="988">
      <c r="D988" s="6"/>
      <c r="F988" s="6"/>
      <c r="G988" s="6"/>
    </row>
    <row r="989">
      <c r="D989" s="6"/>
      <c r="F989" s="6"/>
      <c r="G989" s="6"/>
    </row>
    <row r="990">
      <c r="D990" s="6"/>
      <c r="F990" s="6"/>
      <c r="G990" s="6"/>
    </row>
    <row r="991">
      <c r="D991" s="6"/>
      <c r="F991" s="6"/>
      <c r="G991" s="6"/>
    </row>
    <row r="992">
      <c r="D992" s="6"/>
      <c r="F992" s="6"/>
      <c r="G992" s="6"/>
    </row>
    <row r="993">
      <c r="D993" s="6"/>
      <c r="F993" s="6"/>
      <c r="G993" s="6"/>
    </row>
    <row r="994">
      <c r="D994" s="6"/>
      <c r="F994" s="6"/>
      <c r="G994" s="6"/>
    </row>
    <row r="995">
      <c r="D995" s="6"/>
      <c r="F995" s="6"/>
      <c r="G995" s="6"/>
    </row>
    <row r="996">
      <c r="D996" s="6"/>
      <c r="F996" s="6"/>
      <c r="G996" s="6"/>
    </row>
    <row r="997">
      <c r="D997" s="6"/>
      <c r="F997" s="6"/>
      <c r="G997" s="6"/>
    </row>
    <row r="998">
      <c r="D998" s="6"/>
      <c r="F998" s="6"/>
      <c r="G998" s="6"/>
    </row>
    <row r="999">
      <c r="D999" s="6"/>
      <c r="F999" s="6"/>
      <c r="G999" s="6"/>
    </row>
    <row r="1000">
      <c r="D1000" s="6"/>
      <c r="F1000" s="6"/>
      <c r="G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71"/>
    <col customWidth="1" min="3" max="4" width="16.14"/>
    <col customWidth="1" min="5" max="5" width="9.43"/>
    <col customWidth="1" min="6" max="6" width="11.86"/>
    <col customWidth="1" hidden="1" min="7" max="7" width="22.14"/>
    <col customWidth="1" hidden="1" min="8" max="9" width="28.71"/>
    <col customWidth="1" min="10" max="10" width="19.0"/>
    <col customWidth="1" min="11" max="11" width="23.57"/>
    <col customWidth="1" min="12" max="12" width="14.0"/>
    <col customWidth="1" min="13" max="29" width="8.57"/>
  </cols>
  <sheetData>
    <row r="1">
      <c r="A1" s="57" t="s">
        <v>8</v>
      </c>
      <c r="B1" s="57" t="s">
        <v>9</v>
      </c>
      <c r="C1" s="57" t="s">
        <v>10</v>
      </c>
      <c r="D1" s="57" t="s">
        <v>11</v>
      </c>
      <c r="E1" s="57" t="s">
        <v>12</v>
      </c>
      <c r="F1" s="57" t="s">
        <v>13</v>
      </c>
      <c r="G1" s="77" t="s">
        <v>14</v>
      </c>
      <c r="H1" s="78" t="s">
        <v>15</v>
      </c>
      <c r="I1" s="78" t="s">
        <v>16</v>
      </c>
      <c r="J1" s="79" t="s">
        <v>32</v>
      </c>
      <c r="K1" s="79" t="s">
        <v>33</v>
      </c>
      <c r="L1" s="79" t="s">
        <v>34</v>
      </c>
      <c r="M1" s="79">
        <v>2010.0</v>
      </c>
      <c r="N1" s="79">
        <v>2011.0</v>
      </c>
      <c r="O1" s="79">
        <v>2012.0</v>
      </c>
      <c r="P1" s="79">
        <v>2013.0</v>
      </c>
      <c r="Q1" s="79">
        <v>2014.0</v>
      </c>
      <c r="R1" s="79">
        <v>2015.0</v>
      </c>
      <c r="S1" s="79">
        <v>2016.0</v>
      </c>
      <c r="T1" s="79">
        <v>2017.0</v>
      </c>
      <c r="U1" s="79">
        <v>2018.0</v>
      </c>
      <c r="V1" s="79">
        <v>2019.0</v>
      </c>
      <c r="W1" s="79">
        <v>2020.0</v>
      </c>
      <c r="X1" s="79">
        <v>2021.0</v>
      </c>
      <c r="Y1" s="79">
        <v>2022.0</v>
      </c>
      <c r="Z1" s="79">
        <v>2023.0</v>
      </c>
      <c r="AA1" s="80">
        <v>2024.0</v>
      </c>
      <c r="AB1" s="80">
        <v>2025.0</v>
      </c>
      <c r="AC1" s="80">
        <v>2026.0</v>
      </c>
    </row>
    <row r="2">
      <c r="A2" s="24">
        <v>2.611606019E9</v>
      </c>
      <c r="B2" s="24" t="s">
        <v>39</v>
      </c>
      <c r="C2" s="24">
        <v>2915.0</v>
      </c>
      <c r="D2" s="24">
        <v>4996.0</v>
      </c>
      <c r="E2" s="24">
        <f t="shared" ref="E2:E95" si="1">C2-D2</f>
        <v>-2081</v>
      </c>
      <c r="F2" s="81">
        <f t="shared" ref="F2:F95" si="2">(C2-D2)/D2</f>
        <v>-0.4165332266</v>
      </c>
      <c r="G2" s="82">
        <f t="shared" ref="G2:G95" si="3">D2/$D$96</f>
        <v>0.003270682352</v>
      </c>
      <c r="H2" s="27">
        <f t="shared" ref="H2:H95" si="4">1587707*G2</f>
        <v>5192.885266</v>
      </c>
      <c r="I2" s="27">
        <f t="shared" ref="I2:I95" si="5">1588376*G2</f>
        <v>5195.073352</v>
      </c>
      <c r="J2" s="32">
        <f t="shared" ref="J2:J95" si="6">(1488920/1527510)^(1/12)-1</f>
        <v>-0.002130056018</v>
      </c>
      <c r="K2" s="32">
        <f t="shared" ref="K2:K94" si="7">(C2/D2)^(1/12)-1</f>
        <v>-0.04390434592</v>
      </c>
      <c r="L2" s="32">
        <f t="shared" ref="L2:L95" si="8">D2*J2 + (D2*(K2-J2))</f>
        <v>-219.3461122</v>
      </c>
      <c r="M2" s="27">
        <f t="shared" ref="M2:M96" si="9">D2</f>
        <v>4996</v>
      </c>
      <c r="N2" s="27">
        <f>D2*(1+J2)^(N1-2010)</f>
        <v>4985.35824</v>
      </c>
      <c r="O2" s="27">
        <f t="shared" ref="O2:O95" si="10">D2*(1+$J$2)^2</f>
        <v>4974.739148</v>
      </c>
      <c r="P2" s="27">
        <f t="shared" ref="P2:P95" si="11">D2*(1+$J$2)^(2013-2010)</f>
        <v>4964.142675</v>
      </c>
      <c r="Q2" s="27">
        <f t="shared" ref="Q2:Q95" si="12">D2*(1+$J$2)^(2014-2010)</f>
        <v>4953.568773</v>
      </c>
      <c r="R2" s="27">
        <f t="shared" ref="R2:R95" si="13">D2*(1+$J$2)^(2015-2010)</f>
        <v>4943.017394</v>
      </c>
      <c r="S2" s="27">
        <f t="shared" ref="S2:S95" si="14">D2*(1+$J$2)^(2016-2010)</f>
        <v>4932.48849</v>
      </c>
      <c r="T2" s="27">
        <f t="shared" ref="T2:T95" si="15">D2*(1+$J$2)^(2017-2010)</f>
        <v>4921.982013</v>
      </c>
      <c r="U2" s="27">
        <f t="shared" ref="U2:U95" si="16">D2*(1+$J$2)^(2018-2010)</f>
        <v>4911.497916</v>
      </c>
      <c r="V2" s="27">
        <f t="shared" ref="V2:V95" si="17">D2*(1+$J$2)^(2019-2010)</f>
        <v>4901.03615</v>
      </c>
      <c r="W2" s="27">
        <f t="shared" ref="W2:W95" si="18">D2*(1+$J$2)^(2020-2010)</f>
        <v>4890.596668</v>
      </c>
      <c r="X2" s="27">
        <f t="shared" ref="X2:X95" si="19">D2*(1+$J$2)^(2021-2010)</f>
        <v>4880.179424</v>
      </c>
      <c r="Y2" s="27">
        <f t="shared" ref="Y2:Y95" si="20">C2</f>
        <v>2915</v>
      </c>
      <c r="Z2" s="27">
        <f t="shared" ref="Z2:Z96" si="21">Y2</f>
        <v>2915</v>
      </c>
      <c r="AA2" s="27">
        <f t="shared" ref="AA2:AA95" si="22">C2*(1+J2)^(2024-2022) + C2*(K2-J2)*(2024-2022)</f>
        <v>2659.050889</v>
      </c>
      <c r="AB2" s="27">
        <f t="shared" ref="AB2:AB95" si="23">C2*(1+J2)^(2025-2022) + C2*(K2-J2)*(2025-2022)</f>
        <v>2531.096144</v>
      </c>
      <c r="AC2" s="27">
        <f t="shared" ref="AC2:AC95" si="24">C2*(1+J2)^(2026-2022) + C2*(K2-J2)*(2026-2022)</f>
        <v>2403.154568</v>
      </c>
    </row>
    <row r="3">
      <c r="A3" s="24">
        <v>2.611606043E9</v>
      </c>
      <c r="B3" s="24" t="s">
        <v>40</v>
      </c>
      <c r="C3" s="24">
        <v>2523.0</v>
      </c>
      <c r="D3" s="24">
        <v>3332.0</v>
      </c>
      <c r="E3" s="24">
        <f t="shared" si="1"/>
        <v>-809</v>
      </c>
      <c r="F3" s="81">
        <f t="shared" si="2"/>
        <v>-0.2427971188</v>
      </c>
      <c r="G3" s="82">
        <f t="shared" si="3"/>
        <v>0.002181327782</v>
      </c>
      <c r="H3" s="27">
        <f t="shared" si="4"/>
        <v>3463.309388</v>
      </c>
      <c r="I3" s="27">
        <f t="shared" si="5"/>
        <v>3464.768697</v>
      </c>
      <c r="J3" s="32">
        <f t="shared" si="6"/>
        <v>-0.002130056018</v>
      </c>
      <c r="K3" s="32">
        <f t="shared" si="7"/>
        <v>-0.02291048083</v>
      </c>
      <c r="L3" s="32">
        <f t="shared" si="8"/>
        <v>-76.33772212</v>
      </c>
      <c r="M3" s="27">
        <f t="shared" si="9"/>
        <v>3332</v>
      </c>
      <c r="N3" s="27">
        <f t="shared" ref="N3:N95" si="25">D3*(1+J3)^(2011-2010)</f>
        <v>3324.902653</v>
      </c>
      <c r="O3" s="27">
        <f t="shared" si="10"/>
        <v>3317.820424</v>
      </c>
      <c r="P3" s="27">
        <f t="shared" si="11"/>
        <v>3310.753281</v>
      </c>
      <c r="Q3" s="27">
        <f t="shared" si="12"/>
        <v>3303.701191</v>
      </c>
      <c r="R3" s="27">
        <f t="shared" si="13"/>
        <v>3296.664123</v>
      </c>
      <c r="S3" s="27">
        <f t="shared" si="14"/>
        <v>3289.642043</v>
      </c>
      <c r="T3" s="27">
        <f t="shared" si="15"/>
        <v>3282.634921</v>
      </c>
      <c r="U3" s="27">
        <f t="shared" si="16"/>
        <v>3275.642725</v>
      </c>
      <c r="V3" s="27">
        <f t="shared" si="17"/>
        <v>3268.665423</v>
      </c>
      <c r="W3" s="27">
        <f t="shared" si="18"/>
        <v>3261.702982</v>
      </c>
      <c r="X3" s="27">
        <f t="shared" si="19"/>
        <v>3254.755372</v>
      </c>
      <c r="Y3" s="27">
        <f t="shared" si="20"/>
        <v>2523</v>
      </c>
      <c r="Z3" s="27">
        <f t="shared" si="21"/>
        <v>2523</v>
      </c>
      <c r="AA3" s="27">
        <f t="shared" si="22"/>
        <v>2407.405161</v>
      </c>
      <c r="AB3" s="27">
        <f t="shared" si="23"/>
        <v>2349.624888</v>
      </c>
      <c r="AC3" s="27">
        <f t="shared" si="24"/>
        <v>2291.856013</v>
      </c>
    </row>
    <row r="4">
      <c r="A4" s="24">
        <v>2.611606033E9</v>
      </c>
      <c r="B4" s="24" t="s">
        <v>41</v>
      </c>
      <c r="C4" s="24">
        <v>5062.0</v>
      </c>
      <c r="D4" s="24">
        <v>6584.0</v>
      </c>
      <c r="E4" s="24">
        <f t="shared" si="1"/>
        <v>-1522</v>
      </c>
      <c r="F4" s="81">
        <f t="shared" si="2"/>
        <v>-0.2311664642</v>
      </c>
      <c r="G4" s="82">
        <f t="shared" si="3"/>
        <v>0.004310282748</v>
      </c>
      <c r="H4" s="27">
        <f t="shared" si="4"/>
        <v>6843.466091</v>
      </c>
      <c r="I4" s="27">
        <f t="shared" si="5"/>
        <v>6846.34967</v>
      </c>
      <c r="J4" s="32">
        <f t="shared" si="6"/>
        <v>-0.002130056018</v>
      </c>
      <c r="K4" s="32">
        <f t="shared" si="7"/>
        <v>-0.02166852359</v>
      </c>
      <c r="L4" s="32">
        <f t="shared" si="8"/>
        <v>-142.6655593</v>
      </c>
      <c r="M4" s="27">
        <f t="shared" si="9"/>
        <v>6584</v>
      </c>
      <c r="N4" s="27">
        <f t="shared" si="25"/>
        <v>6569.975711</v>
      </c>
      <c r="O4" s="27">
        <f t="shared" si="10"/>
        <v>6555.981295</v>
      </c>
      <c r="P4" s="27">
        <f t="shared" si="11"/>
        <v>6542.016687</v>
      </c>
      <c r="Q4" s="27">
        <f t="shared" si="12"/>
        <v>6528.081825</v>
      </c>
      <c r="R4" s="27">
        <f t="shared" si="13"/>
        <v>6514.176645</v>
      </c>
      <c r="S4" s="27">
        <f t="shared" si="14"/>
        <v>6500.301084</v>
      </c>
      <c r="T4" s="27">
        <f t="shared" si="15"/>
        <v>6486.455079</v>
      </c>
      <c r="U4" s="27">
        <f t="shared" si="16"/>
        <v>6472.638566</v>
      </c>
      <c r="V4" s="27">
        <f t="shared" si="17"/>
        <v>6458.851483</v>
      </c>
      <c r="W4" s="27">
        <f t="shared" si="18"/>
        <v>6445.093768</v>
      </c>
      <c r="X4" s="27">
        <f t="shared" si="19"/>
        <v>6431.365357</v>
      </c>
      <c r="Y4" s="27">
        <f t="shared" si="20"/>
        <v>5062</v>
      </c>
      <c r="Z4" s="27">
        <f t="shared" si="21"/>
        <v>5062</v>
      </c>
      <c r="AA4" s="27">
        <f t="shared" si="22"/>
        <v>4842.650834</v>
      </c>
      <c r="AB4" s="27">
        <f t="shared" si="23"/>
        <v>4733.010653</v>
      </c>
      <c r="AC4" s="27">
        <f t="shared" si="24"/>
        <v>4623.393341</v>
      </c>
    </row>
    <row r="5">
      <c r="A5" s="24">
        <v>2.611606008E9</v>
      </c>
      <c r="B5" s="24" t="s">
        <v>42</v>
      </c>
      <c r="C5" s="24">
        <v>5923.0</v>
      </c>
      <c r="D5" s="24">
        <v>7625.0</v>
      </c>
      <c r="E5" s="24">
        <f t="shared" si="1"/>
        <v>-1702</v>
      </c>
      <c r="F5" s="81">
        <f t="shared" si="2"/>
        <v>-0.2232131148</v>
      </c>
      <c r="G5" s="82">
        <f t="shared" si="3"/>
        <v>0.004991784015</v>
      </c>
      <c r="H5" s="27">
        <f t="shared" si="4"/>
        <v>7925.490422</v>
      </c>
      <c r="I5" s="27">
        <f t="shared" si="5"/>
        <v>7928.829926</v>
      </c>
      <c r="J5" s="32">
        <f t="shared" si="6"/>
        <v>-0.002130056018</v>
      </c>
      <c r="K5" s="32">
        <f t="shared" si="7"/>
        <v>-0.02082911759</v>
      </c>
      <c r="L5" s="32">
        <f t="shared" si="8"/>
        <v>-158.8220216</v>
      </c>
      <c r="M5" s="27">
        <f t="shared" si="9"/>
        <v>7625</v>
      </c>
      <c r="N5" s="27">
        <f t="shared" si="25"/>
        <v>7608.758323</v>
      </c>
      <c r="O5" s="27">
        <f t="shared" si="10"/>
        <v>7592.551241</v>
      </c>
      <c r="P5" s="27">
        <f t="shared" si="11"/>
        <v>7576.378682</v>
      </c>
      <c r="Q5" s="27">
        <f t="shared" si="12"/>
        <v>7560.240571</v>
      </c>
      <c r="R5" s="27">
        <f t="shared" si="13"/>
        <v>7544.136835</v>
      </c>
      <c r="S5" s="27">
        <f t="shared" si="14"/>
        <v>7528.067401</v>
      </c>
      <c r="T5" s="27">
        <f t="shared" si="15"/>
        <v>7512.032196</v>
      </c>
      <c r="U5" s="27">
        <f t="shared" si="16"/>
        <v>7496.031146</v>
      </c>
      <c r="V5" s="27">
        <f t="shared" si="17"/>
        <v>7480.06418</v>
      </c>
      <c r="W5" s="27">
        <f t="shared" si="18"/>
        <v>7464.131224</v>
      </c>
      <c r="X5" s="27">
        <f t="shared" si="19"/>
        <v>7448.232207</v>
      </c>
      <c r="Y5" s="27">
        <f t="shared" si="20"/>
        <v>5923</v>
      </c>
      <c r="Z5" s="27">
        <f t="shared" si="21"/>
        <v>5923</v>
      </c>
      <c r="AA5" s="27">
        <f t="shared" si="22"/>
        <v>5676.285147</v>
      </c>
      <c r="AB5" s="27">
        <f t="shared" si="23"/>
        <v>5552.967973</v>
      </c>
      <c r="AC5" s="27">
        <f t="shared" si="24"/>
        <v>5429.677558</v>
      </c>
    </row>
    <row r="6">
      <c r="A6" s="24">
        <v>2.611606061E9</v>
      </c>
      <c r="B6" s="24" t="s">
        <v>43</v>
      </c>
      <c r="C6" s="24">
        <v>4763.0</v>
      </c>
      <c r="D6" s="24">
        <v>6032.0</v>
      </c>
      <c r="E6" s="24">
        <f t="shared" si="1"/>
        <v>-1269</v>
      </c>
      <c r="F6" s="81">
        <f t="shared" si="2"/>
        <v>-0.2103779841</v>
      </c>
      <c r="G6" s="82">
        <f t="shared" si="3"/>
        <v>0.003948910318</v>
      </c>
      <c r="H6" s="27">
        <f t="shared" si="4"/>
        <v>6269.712554</v>
      </c>
      <c r="I6" s="27">
        <f t="shared" si="5"/>
        <v>6272.354375</v>
      </c>
      <c r="J6" s="32">
        <f t="shared" si="6"/>
        <v>-0.002130056018</v>
      </c>
      <c r="K6" s="32">
        <f t="shared" si="7"/>
        <v>-0.01949095556</v>
      </c>
      <c r="L6" s="32">
        <f t="shared" si="8"/>
        <v>-117.5694439</v>
      </c>
      <c r="M6" s="27">
        <f t="shared" si="9"/>
        <v>6032</v>
      </c>
      <c r="N6" s="27">
        <f t="shared" si="25"/>
        <v>6019.151502</v>
      </c>
      <c r="O6" s="27">
        <f t="shared" si="10"/>
        <v>6006.330372</v>
      </c>
      <c r="P6" s="27">
        <f t="shared" si="11"/>
        <v>5993.536552</v>
      </c>
      <c r="Q6" s="27">
        <f t="shared" si="12"/>
        <v>5980.769983</v>
      </c>
      <c r="R6" s="27">
        <f t="shared" si="13"/>
        <v>5968.030608</v>
      </c>
      <c r="S6" s="27">
        <f t="shared" si="14"/>
        <v>5955.318369</v>
      </c>
      <c r="T6" s="27">
        <f t="shared" si="15"/>
        <v>5942.633207</v>
      </c>
      <c r="U6" s="27">
        <f t="shared" si="16"/>
        <v>5929.975066</v>
      </c>
      <c r="V6" s="27">
        <f t="shared" si="17"/>
        <v>5917.343886</v>
      </c>
      <c r="W6" s="27">
        <f t="shared" si="18"/>
        <v>5904.739612</v>
      </c>
      <c r="X6" s="27">
        <f t="shared" si="19"/>
        <v>5892.162186</v>
      </c>
      <c r="Y6" s="27">
        <f t="shared" si="20"/>
        <v>4763</v>
      </c>
      <c r="Z6" s="27">
        <f t="shared" si="21"/>
        <v>4763</v>
      </c>
      <c r="AA6" s="27">
        <f t="shared" si="22"/>
        <v>4577.350768</v>
      </c>
      <c r="AB6" s="27">
        <f t="shared" si="23"/>
        <v>4484.558521</v>
      </c>
      <c r="AC6" s="27">
        <f t="shared" si="24"/>
        <v>4391.787793</v>
      </c>
    </row>
    <row r="7">
      <c r="A7" s="24">
        <v>2.611606023E9</v>
      </c>
      <c r="B7" s="24" t="s">
        <v>44</v>
      </c>
      <c r="C7" s="24">
        <v>2091.0</v>
      </c>
      <c r="D7" s="24">
        <v>2626.0</v>
      </c>
      <c r="E7" s="24">
        <f t="shared" si="1"/>
        <v>-535</v>
      </c>
      <c r="F7" s="81">
        <f t="shared" si="2"/>
        <v>-0.2037319117</v>
      </c>
      <c r="G7" s="82">
        <f t="shared" si="3"/>
        <v>0.001719137682</v>
      </c>
      <c r="H7" s="27">
        <f t="shared" si="4"/>
        <v>2729.486931</v>
      </c>
      <c r="I7" s="27">
        <f t="shared" si="5"/>
        <v>2730.637034</v>
      </c>
      <c r="J7" s="32">
        <f t="shared" si="6"/>
        <v>-0.002130056018</v>
      </c>
      <c r="K7" s="32">
        <f t="shared" si="7"/>
        <v>-0.01880586725</v>
      </c>
      <c r="L7" s="32">
        <f t="shared" si="8"/>
        <v>-49.38420741</v>
      </c>
      <c r="M7" s="27">
        <f t="shared" si="9"/>
        <v>2626</v>
      </c>
      <c r="N7" s="27">
        <f t="shared" si="25"/>
        <v>2620.406473</v>
      </c>
      <c r="O7" s="27">
        <f t="shared" si="10"/>
        <v>2614.82486</v>
      </c>
      <c r="P7" s="27">
        <f t="shared" si="11"/>
        <v>2609.255137</v>
      </c>
      <c r="Q7" s="27">
        <f t="shared" si="12"/>
        <v>2603.697277</v>
      </c>
      <c r="R7" s="27">
        <f t="shared" si="13"/>
        <v>2598.151256</v>
      </c>
      <c r="S7" s="27">
        <f t="shared" si="14"/>
        <v>2592.617049</v>
      </c>
      <c r="T7" s="27">
        <f t="shared" si="15"/>
        <v>2587.094629</v>
      </c>
      <c r="U7" s="27">
        <f t="shared" si="16"/>
        <v>2581.583972</v>
      </c>
      <c r="V7" s="27">
        <f t="shared" si="17"/>
        <v>2576.085054</v>
      </c>
      <c r="W7" s="27">
        <f t="shared" si="18"/>
        <v>2570.597849</v>
      </c>
      <c r="X7" s="27">
        <f t="shared" si="19"/>
        <v>2565.122331</v>
      </c>
      <c r="Y7" s="27">
        <f t="shared" si="20"/>
        <v>2091</v>
      </c>
      <c r="Z7" s="27">
        <f t="shared" si="21"/>
        <v>2091</v>
      </c>
      <c r="AA7" s="27">
        <f t="shared" si="22"/>
        <v>2012.36335</v>
      </c>
      <c r="AB7" s="27">
        <f t="shared" si="23"/>
        <v>1973.059236</v>
      </c>
      <c r="AC7" s="27">
        <f t="shared" si="24"/>
        <v>1933.764568</v>
      </c>
    </row>
    <row r="8">
      <c r="A8" s="24">
        <v>2.61160603E9</v>
      </c>
      <c r="B8" s="24" t="s">
        <v>45</v>
      </c>
      <c r="C8" s="24">
        <v>7089.0</v>
      </c>
      <c r="D8" s="24">
        <v>8854.0</v>
      </c>
      <c r="E8" s="24">
        <f t="shared" si="1"/>
        <v>-1765</v>
      </c>
      <c r="F8" s="81">
        <f t="shared" si="2"/>
        <v>-0.1993449288</v>
      </c>
      <c r="G8" s="82">
        <f t="shared" si="3"/>
        <v>0.005796361399</v>
      </c>
      <c r="H8" s="27">
        <f t="shared" si="4"/>
        <v>9202.923567</v>
      </c>
      <c r="I8" s="27">
        <f t="shared" si="5"/>
        <v>9206.801333</v>
      </c>
      <c r="J8" s="32">
        <f t="shared" si="6"/>
        <v>-0.002130056018</v>
      </c>
      <c r="K8" s="32">
        <f t="shared" si="7"/>
        <v>-0.01835651583</v>
      </c>
      <c r="L8" s="32">
        <f t="shared" si="8"/>
        <v>-162.5285911</v>
      </c>
      <c r="M8" s="27">
        <f t="shared" si="9"/>
        <v>8854</v>
      </c>
      <c r="N8" s="27">
        <f t="shared" si="25"/>
        <v>8835.140484</v>
      </c>
      <c r="O8" s="27">
        <f t="shared" si="10"/>
        <v>8816.32114</v>
      </c>
      <c r="P8" s="27">
        <f t="shared" si="11"/>
        <v>8797.541882</v>
      </c>
      <c r="Q8" s="27">
        <f t="shared" si="12"/>
        <v>8778.802625</v>
      </c>
      <c r="R8" s="27">
        <f t="shared" si="13"/>
        <v>8760.103284</v>
      </c>
      <c r="S8" s="27">
        <f t="shared" si="14"/>
        <v>8741.443773</v>
      </c>
      <c r="T8" s="27">
        <f t="shared" si="15"/>
        <v>8722.824008</v>
      </c>
      <c r="U8" s="27">
        <f t="shared" si="16"/>
        <v>8704.243904</v>
      </c>
      <c r="V8" s="27">
        <f t="shared" si="17"/>
        <v>8685.703377</v>
      </c>
      <c r="W8" s="27">
        <f t="shared" si="18"/>
        <v>8667.202342</v>
      </c>
      <c r="X8" s="27">
        <f t="shared" si="19"/>
        <v>8648.740716</v>
      </c>
      <c r="Y8" s="27">
        <f t="shared" si="20"/>
        <v>7089</v>
      </c>
      <c r="Z8" s="27">
        <f t="shared" si="21"/>
        <v>7089</v>
      </c>
      <c r="AA8" s="27">
        <f t="shared" si="22"/>
        <v>6828.773482</v>
      </c>
      <c r="AB8" s="27">
        <f t="shared" si="23"/>
        <v>6698.708401</v>
      </c>
      <c r="AC8" s="27">
        <f t="shared" si="24"/>
        <v>6568.675346</v>
      </c>
    </row>
    <row r="9">
      <c r="A9" s="24">
        <v>2.611606077E9</v>
      </c>
      <c r="B9" s="24" t="s">
        <v>46</v>
      </c>
      <c r="C9" s="24">
        <v>7408.0</v>
      </c>
      <c r="D9" s="24">
        <v>9237.0</v>
      </c>
      <c r="E9" s="24">
        <f t="shared" si="1"/>
        <v>-1829</v>
      </c>
      <c r="F9" s="81">
        <f t="shared" si="2"/>
        <v>-0.1980080113</v>
      </c>
      <c r="G9" s="82">
        <f t="shared" si="3"/>
        <v>0.006047096255</v>
      </c>
      <c r="H9" s="27">
        <f t="shared" si="4"/>
        <v>9601.017053</v>
      </c>
      <c r="I9" s="27">
        <f t="shared" si="5"/>
        <v>9605.062561</v>
      </c>
      <c r="J9" s="32">
        <f t="shared" si="6"/>
        <v>-0.002130056018</v>
      </c>
      <c r="K9" s="32">
        <f t="shared" si="7"/>
        <v>-0.01822002622</v>
      </c>
      <c r="L9" s="32">
        <f t="shared" si="8"/>
        <v>-168.2983822</v>
      </c>
      <c r="M9" s="27">
        <f t="shared" si="9"/>
        <v>9237</v>
      </c>
      <c r="N9" s="27">
        <f t="shared" si="25"/>
        <v>9217.324673</v>
      </c>
      <c r="O9" s="27">
        <f t="shared" si="10"/>
        <v>9197.691255</v>
      </c>
      <c r="P9" s="27">
        <f t="shared" si="11"/>
        <v>9178.099657</v>
      </c>
      <c r="Q9" s="27">
        <f t="shared" si="12"/>
        <v>9158.549791</v>
      </c>
      <c r="R9" s="27">
        <f t="shared" si="13"/>
        <v>9139.041567</v>
      </c>
      <c r="S9" s="27">
        <f t="shared" si="14"/>
        <v>9119.574896</v>
      </c>
      <c r="T9" s="27">
        <f t="shared" si="15"/>
        <v>9100.149691</v>
      </c>
      <c r="U9" s="27">
        <f t="shared" si="16"/>
        <v>9080.765862</v>
      </c>
      <c r="V9" s="27">
        <f t="shared" si="17"/>
        <v>9061.423322</v>
      </c>
      <c r="W9" s="27">
        <f t="shared" si="18"/>
        <v>9042.121983</v>
      </c>
      <c r="X9" s="27">
        <f t="shared" si="19"/>
        <v>9022.861757</v>
      </c>
      <c r="Y9" s="27">
        <f t="shared" si="20"/>
        <v>7408</v>
      </c>
      <c r="Z9" s="27">
        <f t="shared" si="21"/>
        <v>7408</v>
      </c>
      <c r="AA9" s="27">
        <f t="shared" si="22"/>
        <v>7138.085703</v>
      </c>
      <c r="AB9" s="27">
        <f t="shared" si="23"/>
        <v>7003.178899</v>
      </c>
      <c r="AC9" s="27">
        <f t="shared" si="24"/>
        <v>6868.305563</v>
      </c>
    </row>
    <row r="10">
      <c r="A10" s="24">
        <v>2.611606051E9</v>
      </c>
      <c r="B10" s="24" t="s">
        <v>47</v>
      </c>
      <c r="C10" s="24">
        <v>8217.0</v>
      </c>
      <c r="D10" s="24">
        <v>10169.0</v>
      </c>
      <c r="E10" s="24">
        <f t="shared" si="1"/>
        <v>-1952</v>
      </c>
      <c r="F10" s="81">
        <f t="shared" si="2"/>
        <v>-0.1919559445</v>
      </c>
      <c r="G10" s="82">
        <f t="shared" si="3"/>
        <v>0.00665723956</v>
      </c>
      <c r="H10" s="27">
        <f t="shared" si="4"/>
        <v>10569.74585</v>
      </c>
      <c r="I10" s="27">
        <f t="shared" si="5"/>
        <v>10574.19954</v>
      </c>
      <c r="J10" s="32">
        <f t="shared" si="6"/>
        <v>-0.002130056018</v>
      </c>
      <c r="K10" s="32">
        <f t="shared" si="7"/>
        <v>-0.01760475143</v>
      </c>
      <c r="L10" s="32">
        <f t="shared" si="8"/>
        <v>-179.0227173</v>
      </c>
      <c r="M10" s="27">
        <f t="shared" si="9"/>
        <v>10169</v>
      </c>
      <c r="N10" s="27">
        <f t="shared" si="25"/>
        <v>10147.33946</v>
      </c>
      <c r="O10" s="27">
        <f t="shared" si="10"/>
        <v>10125.72506</v>
      </c>
      <c r="P10" s="27">
        <f t="shared" si="11"/>
        <v>10104.1567</v>
      </c>
      <c r="Q10" s="27">
        <f t="shared" si="12"/>
        <v>10082.63428</v>
      </c>
      <c r="R10" s="27">
        <f t="shared" si="13"/>
        <v>10061.1577</v>
      </c>
      <c r="S10" s="27">
        <f t="shared" si="14"/>
        <v>10039.72687</v>
      </c>
      <c r="T10" s="27">
        <f t="shared" si="15"/>
        <v>10018.34169</v>
      </c>
      <c r="U10" s="27">
        <f t="shared" si="16"/>
        <v>9997.002063</v>
      </c>
      <c r="V10" s="27">
        <f t="shared" si="17"/>
        <v>9975.707888</v>
      </c>
      <c r="W10" s="27">
        <f t="shared" si="18"/>
        <v>9954.459072</v>
      </c>
      <c r="X10" s="27">
        <f t="shared" si="19"/>
        <v>9933.255516</v>
      </c>
      <c r="Y10" s="27">
        <f t="shared" si="20"/>
        <v>8217</v>
      </c>
      <c r="Z10" s="27">
        <f t="shared" si="21"/>
        <v>8217</v>
      </c>
      <c r="AA10" s="27">
        <f t="shared" si="22"/>
        <v>7927.720797</v>
      </c>
      <c r="AB10" s="27">
        <f t="shared" si="23"/>
        <v>7783.137038</v>
      </c>
      <c r="AC10" s="27">
        <f t="shared" si="24"/>
        <v>7638.590403</v>
      </c>
    </row>
    <row r="11">
      <c r="A11" s="24">
        <v>2.61160609E9</v>
      </c>
      <c r="B11" s="24" t="s">
        <v>48</v>
      </c>
      <c r="C11" s="24">
        <v>20610.0</v>
      </c>
      <c r="D11" s="24">
        <v>24986.0</v>
      </c>
      <c r="E11" s="24">
        <f t="shared" si="1"/>
        <v>-4376</v>
      </c>
      <c r="F11" s="81">
        <f t="shared" si="2"/>
        <v>-0.1751380773</v>
      </c>
      <c r="G11" s="82">
        <f t="shared" si="3"/>
        <v>0.01635733972</v>
      </c>
      <c r="H11" s="27">
        <f t="shared" si="4"/>
        <v>25970.66278</v>
      </c>
      <c r="I11" s="27">
        <f t="shared" si="5"/>
        <v>25981.60584</v>
      </c>
      <c r="J11" s="32">
        <f t="shared" si="6"/>
        <v>-0.002130056018</v>
      </c>
      <c r="K11" s="32">
        <f t="shared" si="7"/>
        <v>-0.01591690507</v>
      </c>
      <c r="L11" s="32">
        <f t="shared" si="8"/>
        <v>-397.69979</v>
      </c>
      <c r="M11" s="27">
        <f t="shared" si="9"/>
        <v>24986</v>
      </c>
      <c r="N11" s="27">
        <f t="shared" si="25"/>
        <v>24932.77842</v>
      </c>
      <c r="O11" s="27">
        <f t="shared" si="10"/>
        <v>24879.67021</v>
      </c>
      <c r="P11" s="27">
        <f t="shared" si="11"/>
        <v>24826.67511</v>
      </c>
      <c r="Q11" s="27">
        <f t="shared" si="12"/>
        <v>24773.79291</v>
      </c>
      <c r="R11" s="27">
        <f t="shared" si="13"/>
        <v>24721.02334</v>
      </c>
      <c r="S11" s="27">
        <f t="shared" si="14"/>
        <v>24668.36617</v>
      </c>
      <c r="T11" s="27">
        <f t="shared" si="15"/>
        <v>24615.82117</v>
      </c>
      <c r="U11" s="27">
        <f t="shared" si="16"/>
        <v>24563.38809</v>
      </c>
      <c r="V11" s="27">
        <f t="shared" si="17"/>
        <v>24511.0667</v>
      </c>
      <c r="W11" s="27">
        <f t="shared" si="18"/>
        <v>24458.85676</v>
      </c>
      <c r="X11" s="27">
        <f t="shared" si="19"/>
        <v>24406.75802</v>
      </c>
      <c r="Y11" s="27">
        <f t="shared" si="20"/>
        <v>20610</v>
      </c>
      <c r="Z11" s="27">
        <f t="shared" si="21"/>
        <v>20610</v>
      </c>
      <c r="AA11" s="27">
        <f t="shared" si="22"/>
        <v>19953.99868</v>
      </c>
      <c r="AB11" s="27">
        <f t="shared" si="23"/>
        <v>19626.13809</v>
      </c>
      <c r="AC11" s="27">
        <f t="shared" si="24"/>
        <v>19298.37061</v>
      </c>
    </row>
    <row r="12">
      <c r="A12" s="24">
        <v>2.61160605E9</v>
      </c>
      <c r="B12" s="24" t="s">
        <v>49</v>
      </c>
      <c r="C12" s="24">
        <v>10365.0</v>
      </c>
      <c r="D12" s="24">
        <v>12453.0</v>
      </c>
      <c r="E12" s="24">
        <f t="shared" si="1"/>
        <v>-2088</v>
      </c>
      <c r="F12" s="81">
        <f t="shared" si="2"/>
        <v>-0.1676704409</v>
      </c>
      <c r="G12" s="82">
        <f t="shared" si="3"/>
        <v>0.008152483453</v>
      </c>
      <c r="H12" s="27">
        <f t="shared" si="4"/>
        <v>12943.75505</v>
      </c>
      <c r="I12" s="27">
        <f t="shared" si="5"/>
        <v>12949.20906</v>
      </c>
      <c r="J12" s="32">
        <f t="shared" si="6"/>
        <v>-0.002130056018</v>
      </c>
      <c r="K12" s="32">
        <f t="shared" si="7"/>
        <v>-0.01517754323</v>
      </c>
      <c r="L12" s="32">
        <f t="shared" si="8"/>
        <v>-189.0059458</v>
      </c>
      <c r="M12" s="27">
        <f t="shared" si="9"/>
        <v>12453</v>
      </c>
      <c r="N12" s="27">
        <f t="shared" si="25"/>
        <v>12426.47441</v>
      </c>
      <c r="O12" s="27">
        <f t="shared" si="10"/>
        <v>12400.00533</v>
      </c>
      <c r="P12" s="27">
        <f t="shared" si="11"/>
        <v>12373.59262</v>
      </c>
      <c r="Q12" s="27">
        <f t="shared" si="12"/>
        <v>12347.23617</v>
      </c>
      <c r="R12" s="27">
        <f t="shared" si="13"/>
        <v>12320.93587</v>
      </c>
      <c r="S12" s="27">
        <f t="shared" si="14"/>
        <v>12294.69159</v>
      </c>
      <c r="T12" s="27">
        <f t="shared" si="15"/>
        <v>12268.5032</v>
      </c>
      <c r="U12" s="27">
        <f t="shared" si="16"/>
        <v>12242.37061</v>
      </c>
      <c r="V12" s="27">
        <f t="shared" si="17"/>
        <v>12216.29367</v>
      </c>
      <c r="W12" s="27">
        <f t="shared" si="18"/>
        <v>12190.27228</v>
      </c>
      <c r="X12" s="27">
        <f t="shared" si="19"/>
        <v>12164.30632</v>
      </c>
      <c r="Y12" s="27">
        <f t="shared" si="20"/>
        <v>10365</v>
      </c>
      <c r="Z12" s="27">
        <f t="shared" si="21"/>
        <v>10365</v>
      </c>
      <c r="AA12" s="27">
        <f t="shared" si="22"/>
        <v>10050.41656</v>
      </c>
      <c r="AB12" s="27">
        <f t="shared" si="23"/>
        <v>9893.195276</v>
      </c>
      <c r="AC12" s="27">
        <f t="shared" si="24"/>
        <v>9736.020822</v>
      </c>
    </row>
    <row r="13">
      <c r="A13" s="24">
        <v>2.611606079E9</v>
      </c>
      <c r="B13" s="24" t="s">
        <v>50</v>
      </c>
      <c r="C13" s="24">
        <v>8738.0</v>
      </c>
      <c r="D13" s="24">
        <v>10458.0</v>
      </c>
      <c r="E13" s="24">
        <f t="shared" si="1"/>
        <v>-1720</v>
      </c>
      <c r="F13" s="81">
        <f t="shared" si="2"/>
        <v>-0.1644673934</v>
      </c>
      <c r="G13" s="82">
        <f t="shared" si="3"/>
        <v>0.006846436357</v>
      </c>
      <c r="H13" s="27">
        <f t="shared" si="4"/>
        <v>10870.13493</v>
      </c>
      <c r="I13" s="27">
        <f t="shared" si="5"/>
        <v>10874.7152</v>
      </c>
      <c r="J13" s="32">
        <f t="shared" si="6"/>
        <v>-0.002130056018</v>
      </c>
      <c r="K13" s="32">
        <f t="shared" si="7"/>
        <v>-0.01486227518</v>
      </c>
      <c r="L13" s="32">
        <f t="shared" si="8"/>
        <v>-155.4296739</v>
      </c>
      <c r="M13" s="27">
        <f t="shared" si="9"/>
        <v>10458</v>
      </c>
      <c r="N13" s="27">
        <f t="shared" si="25"/>
        <v>10435.72387</v>
      </c>
      <c r="O13" s="27">
        <f t="shared" si="10"/>
        <v>10413.4952</v>
      </c>
      <c r="P13" s="27">
        <f t="shared" si="11"/>
        <v>10391.31387</v>
      </c>
      <c r="Q13" s="27">
        <f t="shared" si="12"/>
        <v>10369.17979</v>
      </c>
      <c r="R13" s="27">
        <f t="shared" si="13"/>
        <v>10347.09286</v>
      </c>
      <c r="S13" s="27">
        <f t="shared" si="14"/>
        <v>10325.05297</v>
      </c>
      <c r="T13" s="27">
        <f t="shared" si="15"/>
        <v>10303.06003</v>
      </c>
      <c r="U13" s="27">
        <f t="shared" si="16"/>
        <v>10281.11393</v>
      </c>
      <c r="V13" s="27">
        <f t="shared" si="17"/>
        <v>10259.21458</v>
      </c>
      <c r="W13" s="27">
        <f t="shared" si="18"/>
        <v>10237.36188</v>
      </c>
      <c r="X13" s="27">
        <f t="shared" si="19"/>
        <v>10215.55573</v>
      </c>
      <c r="Y13" s="27">
        <f t="shared" si="20"/>
        <v>8738</v>
      </c>
      <c r="Z13" s="27">
        <f t="shared" si="21"/>
        <v>8738</v>
      </c>
      <c r="AA13" s="27">
        <f t="shared" si="22"/>
        <v>8478.306524</v>
      </c>
      <c r="AB13" s="27">
        <f t="shared" si="23"/>
        <v>8348.51917</v>
      </c>
      <c r="AC13" s="27">
        <f t="shared" si="24"/>
        <v>8218.771293</v>
      </c>
    </row>
    <row r="14">
      <c r="A14" s="24">
        <v>2.611606045E9</v>
      </c>
      <c r="B14" s="24" t="s">
        <v>51</v>
      </c>
      <c r="C14" s="24">
        <v>28697.0</v>
      </c>
      <c r="D14" s="24">
        <v>34204.0</v>
      </c>
      <c r="E14" s="24">
        <f t="shared" si="1"/>
        <v>-5507</v>
      </c>
      <c r="F14" s="81">
        <f t="shared" si="2"/>
        <v>-0.1610045609</v>
      </c>
      <c r="G14" s="82">
        <f t="shared" si="3"/>
        <v>0.02239199743</v>
      </c>
      <c r="H14" s="27">
        <f t="shared" si="4"/>
        <v>35551.93107</v>
      </c>
      <c r="I14" s="27">
        <f t="shared" si="5"/>
        <v>35566.91132</v>
      </c>
      <c r="J14" s="32">
        <f t="shared" si="6"/>
        <v>-0.002130056018</v>
      </c>
      <c r="K14" s="32">
        <f t="shared" si="7"/>
        <v>-0.01452268102</v>
      </c>
      <c r="L14" s="32">
        <f t="shared" si="8"/>
        <v>-496.7337815</v>
      </c>
      <c r="M14" s="27">
        <f t="shared" si="9"/>
        <v>34204</v>
      </c>
      <c r="N14" s="27">
        <f t="shared" si="25"/>
        <v>34131.14356</v>
      </c>
      <c r="O14" s="27">
        <f t="shared" si="10"/>
        <v>34058.44232</v>
      </c>
      <c r="P14" s="27">
        <f t="shared" si="11"/>
        <v>33985.89593</v>
      </c>
      <c r="Q14" s="27">
        <f t="shared" si="12"/>
        <v>33913.50406</v>
      </c>
      <c r="R14" s="27">
        <f t="shared" si="13"/>
        <v>33841.2664</v>
      </c>
      <c r="S14" s="27">
        <f t="shared" si="14"/>
        <v>33769.18261</v>
      </c>
      <c r="T14" s="27">
        <f t="shared" si="15"/>
        <v>33697.25236</v>
      </c>
      <c r="U14" s="27">
        <f t="shared" si="16"/>
        <v>33625.47532</v>
      </c>
      <c r="V14" s="27">
        <f t="shared" si="17"/>
        <v>33553.85118</v>
      </c>
      <c r="W14" s="27">
        <f t="shared" si="18"/>
        <v>33482.37959</v>
      </c>
      <c r="X14" s="27">
        <f t="shared" si="19"/>
        <v>33411.06025</v>
      </c>
      <c r="Y14" s="27">
        <f t="shared" si="20"/>
        <v>28697</v>
      </c>
      <c r="Z14" s="27">
        <f t="shared" si="21"/>
        <v>28697</v>
      </c>
      <c r="AA14" s="27">
        <f t="shared" si="22"/>
        <v>27863.61545</v>
      </c>
      <c r="AB14" s="27">
        <f t="shared" si="23"/>
        <v>27447.1182</v>
      </c>
      <c r="AC14" s="27">
        <f t="shared" si="24"/>
        <v>27030.7506</v>
      </c>
    </row>
    <row r="15">
      <c r="A15" s="24">
        <v>2.611606014E9</v>
      </c>
      <c r="B15" s="24" t="s">
        <v>52</v>
      </c>
      <c r="C15" s="24">
        <v>1342.0</v>
      </c>
      <c r="D15" s="24">
        <v>1591.0</v>
      </c>
      <c r="E15" s="24">
        <f t="shared" si="1"/>
        <v>-249</v>
      </c>
      <c r="F15" s="81">
        <f t="shared" si="2"/>
        <v>-0.1565053426</v>
      </c>
      <c r="G15" s="82">
        <f t="shared" si="3"/>
        <v>0.001041564376</v>
      </c>
      <c r="H15" s="27">
        <f t="shared" si="4"/>
        <v>1653.699051</v>
      </c>
      <c r="I15" s="27">
        <f t="shared" si="5"/>
        <v>1654.395857</v>
      </c>
      <c r="J15" s="32">
        <f t="shared" si="6"/>
        <v>-0.002130056018</v>
      </c>
      <c r="K15" s="32">
        <f t="shared" si="7"/>
        <v>-0.01408336428</v>
      </c>
      <c r="L15" s="32">
        <f t="shared" si="8"/>
        <v>-22.40663256</v>
      </c>
      <c r="M15" s="27">
        <f t="shared" si="9"/>
        <v>1591</v>
      </c>
      <c r="N15" s="27">
        <f t="shared" si="25"/>
        <v>1587.611081</v>
      </c>
      <c r="O15" s="27">
        <f t="shared" si="10"/>
        <v>1584.22938</v>
      </c>
      <c r="P15" s="27">
        <f t="shared" si="11"/>
        <v>1580.854883</v>
      </c>
      <c r="Q15" s="27">
        <f t="shared" si="12"/>
        <v>1577.487574</v>
      </c>
      <c r="R15" s="27">
        <f t="shared" si="13"/>
        <v>1574.127437</v>
      </c>
      <c r="S15" s="27">
        <f t="shared" si="14"/>
        <v>1570.774457</v>
      </c>
      <c r="T15" s="27">
        <f t="shared" si="15"/>
        <v>1567.428619</v>
      </c>
      <c r="U15" s="27">
        <f t="shared" si="16"/>
        <v>1564.089909</v>
      </c>
      <c r="V15" s="27">
        <f t="shared" si="17"/>
        <v>1560.75831</v>
      </c>
      <c r="W15" s="27">
        <f t="shared" si="18"/>
        <v>1557.433807</v>
      </c>
      <c r="X15" s="27">
        <f t="shared" si="19"/>
        <v>1554.116386</v>
      </c>
      <c r="Y15" s="27">
        <f t="shared" si="20"/>
        <v>1342</v>
      </c>
      <c r="Z15" s="27">
        <f t="shared" si="21"/>
        <v>1342</v>
      </c>
      <c r="AA15" s="27">
        <f t="shared" si="22"/>
        <v>1304.206339</v>
      </c>
      <c r="AB15" s="27">
        <f t="shared" si="23"/>
        <v>1285.318629</v>
      </c>
      <c r="AC15" s="27">
        <f t="shared" si="24"/>
        <v>1266.436982</v>
      </c>
    </row>
    <row r="16">
      <c r="A16" s="24">
        <v>2.611606032E9</v>
      </c>
      <c r="B16" s="24" t="s">
        <v>53</v>
      </c>
      <c r="C16" s="24">
        <v>6495.0</v>
      </c>
      <c r="D16" s="24">
        <v>7694.0</v>
      </c>
      <c r="E16" s="24">
        <f t="shared" si="1"/>
        <v>-1199</v>
      </c>
      <c r="F16" s="81">
        <f t="shared" si="2"/>
        <v>-0.1558357161</v>
      </c>
      <c r="G16" s="82">
        <f t="shared" si="3"/>
        <v>0.005036955568</v>
      </c>
      <c r="H16" s="27">
        <f t="shared" si="4"/>
        <v>7997.209614</v>
      </c>
      <c r="I16" s="27">
        <f t="shared" si="5"/>
        <v>8000.579338</v>
      </c>
      <c r="J16" s="32">
        <f t="shared" si="6"/>
        <v>-0.002130056018</v>
      </c>
      <c r="K16" s="32">
        <f t="shared" si="7"/>
        <v>-0.01401816373</v>
      </c>
      <c r="L16" s="32">
        <f t="shared" si="8"/>
        <v>-107.8557518</v>
      </c>
      <c r="M16" s="27">
        <f t="shared" si="9"/>
        <v>7694</v>
      </c>
      <c r="N16" s="27">
        <f t="shared" si="25"/>
        <v>7677.611349</v>
      </c>
      <c r="O16" s="27">
        <f t="shared" si="10"/>
        <v>7661.257607</v>
      </c>
      <c r="P16" s="27">
        <f t="shared" si="11"/>
        <v>7644.938699</v>
      </c>
      <c r="Q16" s="27">
        <f t="shared" si="12"/>
        <v>7628.654551</v>
      </c>
      <c r="R16" s="27">
        <f t="shared" si="13"/>
        <v>7612.40509</v>
      </c>
      <c r="S16" s="27">
        <f t="shared" si="14"/>
        <v>7596.19024</v>
      </c>
      <c r="T16" s="27">
        <f t="shared" si="15"/>
        <v>7580.00993</v>
      </c>
      <c r="U16" s="27">
        <f t="shared" si="16"/>
        <v>7563.864084</v>
      </c>
      <c r="V16" s="27">
        <f t="shared" si="17"/>
        <v>7547.75263</v>
      </c>
      <c r="W16" s="27">
        <f t="shared" si="18"/>
        <v>7531.675494</v>
      </c>
      <c r="X16" s="27">
        <f t="shared" si="19"/>
        <v>7515.632603</v>
      </c>
      <c r="Y16" s="27">
        <f t="shared" si="20"/>
        <v>6495</v>
      </c>
      <c r="Z16" s="27">
        <f t="shared" si="21"/>
        <v>6495</v>
      </c>
      <c r="AA16" s="27">
        <f t="shared" si="22"/>
        <v>6312.933522</v>
      </c>
      <c r="AB16" s="27">
        <f t="shared" si="23"/>
        <v>6221.944423</v>
      </c>
      <c r="AC16" s="27">
        <f t="shared" si="24"/>
        <v>6130.984668</v>
      </c>
    </row>
    <row r="17">
      <c r="A17" s="24">
        <v>2.611606004E9</v>
      </c>
      <c r="B17" s="24" t="s">
        <v>54</v>
      </c>
      <c r="C17" s="24">
        <v>2081.0</v>
      </c>
      <c r="D17" s="24">
        <v>2459.0</v>
      </c>
      <c r="E17" s="24">
        <f t="shared" si="1"/>
        <v>-378</v>
      </c>
      <c r="F17" s="81">
        <f t="shared" si="2"/>
        <v>-0.1537210248</v>
      </c>
      <c r="G17" s="82">
        <f t="shared" si="3"/>
        <v>0.001609809428</v>
      </c>
      <c r="H17" s="27">
        <f t="shared" si="4"/>
        <v>2555.905698</v>
      </c>
      <c r="I17" s="27">
        <f t="shared" si="5"/>
        <v>2556.982661</v>
      </c>
      <c r="J17" s="32">
        <f t="shared" si="6"/>
        <v>-0.002130056018</v>
      </c>
      <c r="K17" s="32">
        <f t="shared" si="7"/>
        <v>-0.01381257015</v>
      </c>
      <c r="L17" s="32">
        <f t="shared" si="8"/>
        <v>-33.96511</v>
      </c>
      <c r="M17" s="27">
        <f t="shared" si="9"/>
        <v>2459</v>
      </c>
      <c r="N17" s="27">
        <f t="shared" si="25"/>
        <v>2453.762192</v>
      </c>
      <c r="O17" s="27">
        <f t="shared" si="10"/>
        <v>2448.535541</v>
      </c>
      <c r="P17" s="27">
        <f t="shared" si="11"/>
        <v>2443.320023</v>
      </c>
      <c r="Q17" s="27">
        <f t="shared" si="12"/>
        <v>2438.115615</v>
      </c>
      <c r="R17" s="27">
        <f t="shared" si="13"/>
        <v>2432.922292</v>
      </c>
      <c r="S17" s="27">
        <f t="shared" si="14"/>
        <v>2427.740031</v>
      </c>
      <c r="T17" s="27">
        <f t="shared" si="15"/>
        <v>2422.568809</v>
      </c>
      <c r="U17" s="27">
        <f t="shared" si="16"/>
        <v>2417.408602</v>
      </c>
      <c r="V17" s="27">
        <f t="shared" si="17"/>
        <v>2412.259386</v>
      </c>
      <c r="W17" s="27">
        <f t="shared" si="18"/>
        <v>2407.121138</v>
      </c>
      <c r="X17" s="27">
        <f t="shared" si="19"/>
        <v>2401.993836</v>
      </c>
      <c r="Y17" s="27">
        <f t="shared" si="20"/>
        <v>2081</v>
      </c>
      <c r="Z17" s="27">
        <f t="shared" si="21"/>
        <v>2081</v>
      </c>
      <c r="AA17" s="27">
        <f t="shared" si="22"/>
        <v>2023.521525</v>
      </c>
      <c r="AB17" s="27">
        <f t="shared" si="23"/>
        <v>1994.79643</v>
      </c>
      <c r="AC17" s="27">
        <f t="shared" si="24"/>
        <v>1966.080736</v>
      </c>
    </row>
    <row r="18">
      <c r="A18" s="24">
        <v>2.611606056E9</v>
      </c>
      <c r="B18" s="24" t="s">
        <v>55</v>
      </c>
      <c r="C18" s="24">
        <v>2574.0</v>
      </c>
      <c r="D18" s="24">
        <v>3027.0</v>
      </c>
      <c r="E18" s="24">
        <f t="shared" si="1"/>
        <v>-453</v>
      </c>
      <c r="F18" s="81">
        <f t="shared" si="2"/>
        <v>-0.1496531219</v>
      </c>
      <c r="G18" s="82">
        <f t="shared" si="3"/>
        <v>0.001981656421</v>
      </c>
      <c r="H18" s="27">
        <f t="shared" si="4"/>
        <v>3146.289772</v>
      </c>
      <c r="I18" s="27">
        <f t="shared" si="5"/>
        <v>3147.6155</v>
      </c>
      <c r="J18" s="32">
        <f t="shared" si="6"/>
        <v>-0.002130056018</v>
      </c>
      <c r="K18" s="32">
        <f t="shared" si="7"/>
        <v>-0.0134184031</v>
      </c>
      <c r="L18" s="32">
        <f t="shared" si="8"/>
        <v>-40.61750618</v>
      </c>
      <c r="M18" s="27">
        <f t="shared" si="9"/>
        <v>3027</v>
      </c>
      <c r="N18" s="27">
        <f t="shared" si="25"/>
        <v>3020.55232</v>
      </c>
      <c r="O18" s="27">
        <f t="shared" si="10"/>
        <v>3014.118375</v>
      </c>
      <c r="P18" s="27">
        <f t="shared" si="11"/>
        <v>3007.698134</v>
      </c>
      <c r="Q18" s="27">
        <f t="shared" si="12"/>
        <v>3001.291568</v>
      </c>
      <c r="R18" s="27">
        <f t="shared" si="13"/>
        <v>2994.898649</v>
      </c>
      <c r="S18" s="27">
        <f t="shared" si="14"/>
        <v>2988.519347</v>
      </c>
      <c r="T18" s="27">
        <f t="shared" si="15"/>
        <v>2982.153634</v>
      </c>
      <c r="U18" s="27">
        <f t="shared" si="16"/>
        <v>2975.801479</v>
      </c>
      <c r="V18" s="27">
        <f t="shared" si="17"/>
        <v>2969.462855</v>
      </c>
      <c r="W18" s="27">
        <f t="shared" si="18"/>
        <v>2963.137733</v>
      </c>
      <c r="X18" s="27">
        <f t="shared" si="19"/>
        <v>2956.826084</v>
      </c>
      <c r="Y18" s="27">
        <f t="shared" si="20"/>
        <v>2574</v>
      </c>
      <c r="Z18" s="27">
        <f t="shared" si="21"/>
        <v>2574</v>
      </c>
      <c r="AA18" s="27">
        <f t="shared" si="22"/>
        <v>2504.933739</v>
      </c>
      <c r="AB18" s="27">
        <f t="shared" si="23"/>
        <v>2470.418102</v>
      </c>
      <c r="AC18" s="27">
        <f t="shared" si="24"/>
        <v>2435.914094</v>
      </c>
    </row>
    <row r="19">
      <c r="A19" s="24">
        <v>2.611606067E9</v>
      </c>
      <c r="B19" s="24" t="s">
        <v>56</v>
      </c>
      <c r="C19" s="24">
        <v>10642.0</v>
      </c>
      <c r="D19" s="24">
        <v>12415.0</v>
      </c>
      <c r="E19" s="24">
        <f t="shared" si="1"/>
        <v>-1773</v>
      </c>
      <c r="F19" s="81">
        <f t="shared" si="2"/>
        <v>-0.1428111156</v>
      </c>
      <c r="G19" s="82">
        <f t="shared" si="3"/>
        <v>0.008127606366</v>
      </c>
      <c r="H19" s="27">
        <f t="shared" si="4"/>
        <v>12904.25752</v>
      </c>
      <c r="I19" s="27">
        <f t="shared" si="5"/>
        <v>12909.69489</v>
      </c>
      <c r="J19" s="32">
        <f t="shared" si="6"/>
        <v>-0.002130056018</v>
      </c>
      <c r="K19" s="32">
        <f t="shared" si="7"/>
        <v>-0.01275931606</v>
      </c>
      <c r="L19" s="32">
        <f t="shared" si="8"/>
        <v>-158.4069089</v>
      </c>
      <c r="M19" s="27">
        <f t="shared" si="9"/>
        <v>12415</v>
      </c>
      <c r="N19" s="27">
        <f t="shared" si="25"/>
        <v>12388.55535</v>
      </c>
      <c r="O19" s="27">
        <f t="shared" si="10"/>
        <v>12362.16704</v>
      </c>
      <c r="P19" s="27">
        <f t="shared" si="11"/>
        <v>12335.83493</v>
      </c>
      <c r="Q19" s="27">
        <f t="shared" si="12"/>
        <v>12309.55891</v>
      </c>
      <c r="R19" s="27">
        <f t="shared" si="13"/>
        <v>12283.33886</v>
      </c>
      <c r="S19" s="27">
        <f t="shared" si="14"/>
        <v>12257.17466</v>
      </c>
      <c r="T19" s="27">
        <f t="shared" si="15"/>
        <v>12231.06619</v>
      </c>
      <c r="U19" s="27">
        <f t="shared" si="16"/>
        <v>12205.01334</v>
      </c>
      <c r="V19" s="27">
        <f t="shared" si="17"/>
        <v>12179.01597</v>
      </c>
      <c r="W19" s="27">
        <f t="shared" si="18"/>
        <v>12153.07399</v>
      </c>
      <c r="X19" s="27">
        <f t="shared" si="19"/>
        <v>12127.18726</v>
      </c>
      <c r="Y19" s="27">
        <f t="shared" si="20"/>
        <v>10642</v>
      </c>
      <c r="Z19" s="27">
        <f t="shared" si="21"/>
        <v>10642</v>
      </c>
      <c r="AA19" s="27">
        <f t="shared" si="22"/>
        <v>10370.479</v>
      </c>
      <c r="AB19" s="27">
        <f t="shared" si="23"/>
        <v>10234.79083</v>
      </c>
      <c r="AC19" s="27">
        <f t="shared" si="24"/>
        <v>10099.15073</v>
      </c>
    </row>
    <row r="20">
      <c r="A20" s="24">
        <v>2.611606081E9</v>
      </c>
      <c r="B20" s="24" t="s">
        <v>57</v>
      </c>
      <c r="C20" s="24">
        <v>2074.0</v>
      </c>
      <c r="D20" s="24">
        <v>2419.0</v>
      </c>
      <c r="E20" s="24">
        <f t="shared" si="1"/>
        <v>-345</v>
      </c>
      <c r="F20" s="81">
        <f t="shared" si="2"/>
        <v>-0.1426209177</v>
      </c>
      <c r="G20" s="82">
        <f t="shared" si="3"/>
        <v>0.00158362302</v>
      </c>
      <c r="H20" s="27">
        <f t="shared" si="4"/>
        <v>2514.329355</v>
      </c>
      <c r="I20" s="27">
        <f t="shared" si="5"/>
        <v>2515.388799</v>
      </c>
      <c r="J20" s="32">
        <f t="shared" si="6"/>
        <v>-0.002130056018</v>
      </c>
      <c r="K20" s="32">
        <f t="shared" si="7"/>
        <v>-0.01274106338</v>
      </c>
      <c r="L20" s="32">
        <f t="shared" si="8"/>
        <v>-30.82063231</v>
      </c>
      <c r="M20" s="27">
        <f t="shared" si="9"/>
        <v>2419</v>
      </c>
      <c r="N20" s="27">
        <f t="shared" si="25"/>
        <v>2413.847394</v>
      </c>
      <c r="O20" s="27">
        <f t="shared" si="10"/>
        <v>2408.705764</v>
      </c>
      <c r="P20" s="27">
        <f t="shared" si="11"/>
        <v>2403.575086</v>
      </c>
      <c r="Q20" s="27">
        <f t="shared" si="12"/>
        <v>2398.455337</v>
      </c>
      <c r="R20" s="27">
        <f t="shared" si="13"/>
        <v>2393.346492</v>
      </c>
      <c r="S20" s="27">
        <f t="shared" si="14"/>
        <v>2388.24853</v>
      </c>
      <c r="T20" s="27">
        <f t="shared" si="15"/>
        <v>2383.161427</v>
      </c>
      <c r="U20" s="27">
        <f t="shared" si="16"/>
        <v>2378.08516</v>
      </c>
      <c r="V20" s="27">
        <f t="shared" si="17"/>
        <v>2373.019705</v>
      </c>
      <c r="W20" s="27">
        <f t="shared" si="18"/>
        <v>2367.96504</v>
      </c>
      <c r="X20" s="27">
        <f t="shared" si="19"/>
        <v>2362.921142</v>
      </c>
      <c r="Y20" s="27">
        <f t="shared" si="20"/>
        <v>2074</v>
      </c>
      <c r="Z20" s="27">
        <f t="shared" si="21"/>
        <v>2074</v>
      </c>
      <c r="AA20" s="27">
        <f t="shared" si="22"/>
        <v>2021.159479</v>
      </c>
      <c r="AB20" s="27">
        <f t="shared" si="23"/>
        <v>1994.753314</v>
      </c>
      <c r="AC20" s="27">
        <f t="shared" si="24"/>
        <v>1968.356518</v>
      </c>
    </row>
    <row r="21">
      <c r="A21" s="24">
        <v>2.611606049E9</v>
      </c>
      <c r="B21" s="24" t="s">
        <v>58</v>
      </c>
      <c r="C21" s="62">
        <v>26631.0</v>
      </c>
      <c r="D21" s="24">
        <v>31016.0</v>
      </c>
      <c r="E21" s="24">
        <f t="shared" si="1"/>
        <v>-4385</v>
      </c>
      <c r="F21" s="81">
        <f t="shared" si="2"/>
        <v>-0.1413786433</v>
      </c>
      <c r="G21" s="82">
        <f t="shared" si="3"/>
        <v>0.02030494072</v>
      </c>
      <c r="H21" s="27">
        <f t="shared" si="4"/>
        <v>32238.29652</v>
      </c>
      <c r="I21" s="27">
        <f t="shared" si="5"/>
        <v>32251.88052</v>
      </c>
      <c r="J21" s="32">
        <f t="shared" si="6"/>
        <v>-0.002130056018</v>
      </c>
      <c r="K21" s="32">
        <f t="shared" si="7"/>
        <v>-0.01262193746</v>
      </c>
      <c r="L21" s="32">
        <f t="shared" si="8"/>
        <v>-391.4820122</v>
      </c>
      <c r="M21" s="27">
        <f t="shared" si="9"/>
        <v>31016</v>
      </c>
      <c r="N21" s="27">
        <f t="shared" si="25"/>
        <v>30949.93418</v>
      </c>
      <c r="O21" s="27">
        <f t="shared" si="10"/>
        <v>30884.00909</v>
      </c>
      <c r="P21" s="27">
        <f t="shared" si="11"/>
        <v>30818.22442</v>
      </c>
      <c r="Q21" s="27">
        <f t="shared" si="12"/>
        <v>30752.57988</v>
      </c>
      <c r="R21" s="27">
        <f t="shared" si="13"/>
        <v>30687.07516</v>
      </c>
      <c r="S21" s="27">
        <f t="shared" si="14"/>
        <v>30621.70997</v>
      </c>
      <c r="T21" s="27">
        <f t="shared" si="15"/>
        <v>30556.48401</v>
      </c>
      <c r="U21" s="27">
        <f t="shared" si="16"/>
        <v>30491.39699</v>
      </c>
      <c r="V21" s="27">
        <f t="shared" si="17"/>
        <v>30426.4486</v>
      </c>
      <c r="W21" s="27">
        <f t="shared" si="18"/>
        <v>30361.63856</v>
      </c>
      <c r="X21" s="27">
        <f t="shared" si="19"/>
        <v>30296.96657</v>
      </c>
      <c r="Y21" s="27">
        <f t="shared" si="20"/>
        <v>26631</v>
      </c>
      <c r="Z21" s="27">
        <f t="shared" si="21"/>
        <v>26631</v>
      </c>
      <c r="AA21" s="27">
        <f t="shared" si="22"/>
        <v>25958.8512</v>
      </c>
      <c r="AB21" s="27">
        <f t="shared" si="23"/>
        <v>25622.95778</v>
      </c>
      <c r="AC21" s="27">
        <f t="shared" si="24"/>
        <v>25287.18468</v>
      </c>
    </row>
    <row r="22">
      <c r="A22" s="24">
        <v>2.611606031E9</v>
      </c>
      <c r="B22" s="24" t="s">
        <v>59</v>
      </c>
      <c r="C22" s="24">
        <v>6620.0</v>
      </c>
      <c r="D22" s="24">
        <v>7703.0</v>
      </c>
      <c r="E22" s="24">
        <f t="shared" si="1"/>
        <v>-1083</v>
      </c>
      <c r="F22" s="81">
        <f t="shared" si="2"/>
        <v>-0.1405945735</v>
      </c>
      <c r="G22" s="82">
        <f t="shared" si="3"/>
        <v>0.00504284751</v>
      </c>
      <c r="H22" s="27">
        <f t="shared" si="4"/>
        <v>8006.564292</v>
      </c>
      <c r="I22" s="27">
        <f t="shared" si="5"/>
        <v>8009.937957</v>
      </c>
      <c r="J22" s="32">
        <f t="shared" si="6"/>
        <v>-0.002130056018</v>
      </c>
      <c r="K22" s="32">
        <f t="shared" si="7"/>
        <v>-0.01254683165</v>
      </c>
      <c r="L22" s="32">
        <f t="shared" si="8"/>
        <v>-96.64824418</v>
      </c>
      <c r="M22" s="27">
        <f t="shared" si="9"/>
        <v>7703</v>
      </c>
      <c r="N22" s="27">
        <f t="shared" si="25"/>
        <v>7686.592178</v>
      </c>
      <c r="O22" s="27">
        <f t="shared" si="10"/>
        <v>7670.219307</v>
      </c>
      <c r="P22" s="27">
        <f t="shared" si="11"/>
        <v>7653.88131</v>
      </c>
      <c r="Q22" s="27">
        <f t="shared" si="12"/>
        <v>7637.578114</v>
      </c>
      <c r="R22" s="27">
        <f t="shared" si="13"/>
        <v>7621.309645</v>
      </c>
      <c r="S22" s="27">
        <f t="shared" si="14"/>
        <v>7605.075828</v>
      </c>
      <c r="T22" s="27">
        <f t="shared" si="15"/>
        <v>7588.876591</v>
      </c>
      <c r="U22" s="27">
        <f t="shared" si="16"/>
        <v>7572.711858</v>
      </c>
      <c r="V22" s="27">
        <f t="shared" si="17"/>
        <v>7556.581558</v>
      </c>
      <c r="W22" s="27">
        <f t="shared" si="18"/>
        <v>7540.485616</v>
      </c>
      <c r="X22" s="27">
        <f t="shared" si="19"/>
        <v>7524.423959</v>
      </c>
      <c r="Y22" s="27">
        <f t="shared" si="20"/>
        <v>6620</v>
      </c>
      <c r="Z22" s="27">
        <f t="shared" si="21"/>
        <v>6620</v>
      </c>
      <c r="AA22" s="27">
        <f t="shared" si="22"/>
        <v>6453.909985</v>
      </c>
      <c r="AB22" s="27">
        <f t="shared" si="23"/>
        <v>6370.909967</v>
      </c>
      <c r="AC22" s="27">
        <f t="shared" si="24"/>
        <v>6287.939857</v>
      </c>
    </row>
    <row r="23">
      <c r="A23" s="24">
        <v>2.611606015E9</v>
      </c>
      <c r="B23" s="24" t="s">
        <v>60</v>
      </c>
      <c r="C23" s="24">
        <v>4990.0</v>
      </c>
      <c r="D23" s="24">
        <v>5768.0</v>
      </c>
      <c r="E23" s="24">
        <f t="shared" si="1"/>
        <v>-778</v>
      </c>
      <c r="F23" s="81">
        <f t="shared" si="2"/>
        <v>-0.1348821082</v>
      </c>
      <c r="G23" s="82">
        <f t="shared" si="3"/>
        <v>0.003776080026</v>
      </c>
      <c r="H23" s="27">
        <f t="shared" si="4"/>
        <v>5995.308689</v>
      </c>
      <c r="I23" s="27">
        <f t="shared" si="5"/>
        <v>5997.834887</v>
      </c>
      <c r="J23" s="32">
        <f t="shared" si="6"/>
        <v>-0.002130056018</v>
      </c>
      <c r="K23" s="32">
        <f t="shared" si="7"/>
        <v>-0.01200152443</v>
      </c>
      <c r="L23" s="32">
        <f t="shared" si="8"/>
        <v>-69.22479294</v>
      </c>
      <c r="M23" s="27">
        <f t="shared" si="9"/>
        <v>5768</v>
      </c>
      <c r="N23" s="27">
        <f t="shared" si="25"/>
        <v>5755.713837</v>
      </c>
      <c r="O23" s="27">
        <f t="shared" si="10"/>
        <v>5743.453844</v>
      </c>
      <c r="P23" s="27">
        <f t="shared" si="11"/>
        <v>5731.219966</v>
      </c>
      <c r="Q23" s="27">
        <f t="shared" si="12"/>
        <v>5719.012146</v>
      </c>
      <c r="R23" s="27">
        <f t="shared" si="13"/>
        <v>5706.83033</v>
      </c>
      <c r="S23" s="27">
        <f t="shared" si="14"/>
        <v>5694.674461</v>
      </c>
      <c r="T23" s="27">
        <f t="shared" si="15"/>
        <v>5682.544486</v>
      </c>
      <c r="U23" s="27">
        <f t="shared" si="16"/>
        <v>5670.440348</v>
      </c>
      <c r="V23" s="27">
        <f t="shared" si="17"/>
        <v>5658.361992</v>
      </c>
      <c r="W23" s="27">
        <f t="shared" si="18"/>
        <v>5646.309364</v>
      </c>
      <c r="X23" s="27">
        <f t="shared" si="19"/>
        <v>5634.282409</v>
      </c>
      <c r="Y23" s="27">
        <f t="shared" si="20"/>
        <v>4990</v>
      </c>
      <c r="Z23" s="27">
        <f t="shared" si="21"/>
        <v>4990</v>
      </c>
      <c r="AA23" s="27">
        <f t="shared" si="22"/>
        <v>4870.247426</v>
      </c>
      <c r="AB23" s="27">
        <f t="shared" si="23"/>
        <v>4810.405052</v>
      </c>
      <c r="AC23" s="27">
        <f t="shared" si="24"/>
        <v>4750.585221</v>
      </c>
    </row>
    <row r="24">
      <c r="A24" s="24">
        <v>2.611606075E9</v>
      </c>
      <c r="B24" s="24" t="s">
        <v>61</v>
      </c>
      <c r="C24" s="24">
        <v>31457.0</v>
      </c>
      <c r="D24" s="24">
        <v>36205.0</v>
      </c>
      <c r="E24" s="24">
        <f t="shared" si="1"/>
        <v>-4748</v>
      </c>
      <c r="F24" s="81">
        <f t="shared" si="2"/>
        <v>-0.1311421074</v>
      </c>
      <c r="G24" s="82">
        <f t="shared" si="3"/>
        <v>0.02370197249</v>
      </c>
      <c r="H24" s="27">
        <f t="shared" si="4"/>
        <v>37631.78764</v>
      </c>
      <c r="I24" s="27">
        <f t="shared" si="5"/>
        <v>37647.64426</v>
      </c>
      <c r="J24" s="32">
        <f t="shared" si="6"/>
        <v>-0.002130056018</v>
      </c>
      <c r="K24" s="32">
        <f t="shared" si="7"/>
        <v>-0.01164629216</v>
      </c>
      <c r="L24" s="32">
        <f t="shared" si="8"/>
        <v>-421.6540075</v>
      </c>
      <c r="M24" s="27">
        <f t="shared" si="9"/>
        <v>36205</v>
      </c>
      <c r="N24" s="27">
        <f t="shared" si="25"/>
        <v>36127.88132</v>
      </c>
      <c r="O24" s="27">
        <f t="shared" si="10"/>
        <v>36050.92691</v>
      </c>
      <c r="P24" s="27">
        <f t="shared" si="11"/>
        <v>35974.13642</v>
      </c>
      <c r="Q24" s="27">
        <f t="shared" si="12"/>
        <v>35897.50949</v>
      </c>
      <c r="R24" s="27">
        <f t="shared" si="13"/>
        <v>35821.04579</v>
      </c>
      <c r="S24" s="27">
        <f t="shared" si="14"/>
        <v>35744.74495</v>
      </c>
      <c r="T24" s="27">
        <f t="shared" si="15"/>
        <v>35668.60664</v>
      </c>
      <c r="U24" s="27">
        <f t="shared" si="16"/>
        <v>35592.63051</v>
      </c>
      <c r="V24" s="27">
        <f t="shared" si="17"/>
        <v>35516.81621</v>
      </c>
      <c r="W24" s="27">
        <f t="shared" si="18"/>
        <v>35441.16341</v>
      </c>
      <c r="X24" s="27">
        <f t="shared" si="19"/>
        <v>35365.67174</v>
      </c>
      <c r="Y24" s="27">
        <f t="shared" si="20"/>
        <v>31457</v>
      </c>
      <c r="Z24" s="27">
        <f t="shared" si="21"/>
        <v>31457</v>
      </c>
      <c r="AA24" s="27">
        <f t="shared" si="22"/>
        <v>30724.4279</v>
      </c>
      <c r="AB24" s="27">
        <f t="shared" si="23"/>
        <v>30358.35563</v>
      </c>
      <c r="AC24" s="27">
        <f t="shared" si="24"/>
        <v>29992.42548</v>
      </c>
    </row>
    <row r="25">
      <c r="A25" s="24">
        <v>2.611606065E9</v>
      </c>
      <c r="B25" s="24" t="s">
        <v>62</v>
      </c>
      <c r="C25" s="24">
        <v>7060.0</v>
      </c>
      <c r="D25" s="24">
        <v>8096.0</v>
      </c>
      <c r="E25" s="24">
        <f t="shared" si="1"/>
        <v>-1036</v>
      </c>
      <c r="F25" s="81">
        <f t="shared" si="2"/>
        <v>-0.1279644269</v>
      </c>
      <c r="G25" s="82">
        <f t="shared" si="3"/>
        <v>0.005300128968</v>
      </c>
      <c r="H25" s="27">
        <f t="shared" si="4"/>
        <v>8415.051863</v>
      </c>
      <c r="I25" s="27">
        <f t="shared" si="5"/>
        <v>8418.59765</v>
      </c>
      <c r="J25" s="32">
        <f t="shared" si="6"/>
        <v>-0.002130056018</v>
      </c>
      <c r="K25" s="32">
        <f t="shared" si="7"/>
        <v>-0.01134556979</v>
      </c>
      <c r="L25" s="32">
        <f t="shared" si="8"/>
        <v>-91.853733</v>
      </c>
      <c r="M25" s="27">
        <f t="shared" si="9"/>
        <v>8096</v>
      </c>
      <c r="N25" s="27">
        <f t="shared" si="25"/>
        <v>8078.755066</v>
      </c>
      <c r="O25" s="27">
        <f t="shared" si="10"/>
        <v>8061.546866</v>
      </c>
      <c r="P25" s="27">
        <f t="shared" si="11"/>
        <v>8044.375319</v>
      </c>
      <c r="Q25" s="27">
        <f t="shared" si="12"/>
        <v>8027.240349</v>
      </c>
      <c r="R25" s="27">
        <f t="shared" si="13"/>
        <v>8010.141878</v>
      </c>
      <c r="S25" s="27">
        <f t="shared" si="14"/>
        <v>7993.079827</v>
      </c>
      <c r="T25" s="27">
        <f t="shared" si="15"/>
        <v>7976.054119</v>
      </c>
      <c r="U25" s="27">
        <f t="shared" si="16"/>
        <v>7959.064677</v>
      </c>
      <c r="V25" s="27">
        <f t="shared" si="17"/>
        <v>7942.111423</v>
      </c>
      <c r="W25" s="27">
        <f t="shared" si="18"/>
        <v>7925.194281</v>
      </c>
      <c r="X25" s="27">
        <f t="shared" si="19"/>
        <v>7908.313173</v>
      </c>
      <c r="Y25" s="27">
        <f t="shared" si="20"/>
        <v>7060</v>
      </c>
      <c r="Z25" s="27">
        <f t="shared" si="21"/>
        <v>7060</v>
      </c>
      <c r="AA25" s="27">
        <f t="shared" si="22"/>
        <v>6899.832587</v>
      </c>
      <c r="AB25" s="27">
        <f t="shared" si="23"/>
        <v>6819.79686</v>
      </c>
      <c r="AC25" s="27">
        <f t="shared" si="24"/>
        <v>6739.79303</v>
      </c>
    </row>
    <row r="26">
      <c r="A26" s="24">
        <v>2.611606082E9</v>
      </c>
      <c r="B26" s="24" t="s">
        <v>63</v>
      </c>
      <c r="C26" s="24">
        <v>9427.0</v>
      </c>
      <c r="D26" s="24">
        <v>10793.0</v>
      </c>
      <c r="E26" s="24">
        <f t="shared" si="1"/>
        <v>-1366</v>
      </c>
      <c r="F26" s="81">
        <f t="shared" si="2"/>
        <v>-0.1265635134</v>
      </c>
      <c r="G26" s="82">
        <f t="shared" si="3"/>
        <v>0.007065747524</v>
      </c>
      <c r="H26" s="27">
        <f t="shared" si="4"/>
        <v>11218.3368</v>
      </c>
      <c r="I26" s="27">
        <f t="shared" si="5"/>
        <v>11223.06379</v>
      </c>
      <c r="J26" s="32">
        <f t="shared" si="6"/>
        <v>-0.002130056018</v>
      </c>
      <c r="K26" s="32">
        <f t="shared" si="7"/>
        <v>-0.01121331213</v>
      </c>
      <c r="L26" s="32">
        <f t="shared" si="8"/>
        <v>-121.0252778</v>
      </c>
      <c r="M26" s="27">
        <f t="shared" si="9"/>
        <v>10793</v>
      </c>
      <c r="N26" s="27">
        <f t="shared" si="25"/>
        <v>10770.01031</v>
      </c>
      <c r="O26" s="27">
        <f t="shared" si="10"/>
        <v>10747.06958</v>
      </c>
      <c r="P26" s="27">
        <f t="shared" si="11"/>
        <v>10724.17772</v>
      </c>
      <c r="Q26" s="27">
        <f t="shared" si="12"/>
        <v>10701.33462</v>
      </c>
      <c r="R26" s="27">
        <f t="shared" si="13"/>
        <v>10678.54018</v>
      </c>
      <c r="S26" s="27">
        <f t="shared" si="14"/>
        <v>10655.79429</v>
      </c>
      <c r="T26" s="27">
        <f t="shared" si="15"/>
        <v>10633.09685</v>
      </c>
      <c r="U26" s="27">
        <f t="shared" si="16"/>
        <v>10610.44776</v>
      </c>
      <c r="V26" s="27">
        <f t="shared" si="17"/>
        <v>10587.84691</v>
      </c>
      <c r="W26" s="27">
        <f t="shared" si="18"/>
        <v>10565.2942</v>
      </c>
      <c r="X26" s="27">
        <f t="shared" si="19"/>
        <v>10542.78954</v>
      </c>
      <c r="Y26" s="27">
        <f t="shared" si="20"/>
        <v>9427</v>
      </c>
      <c r="Z26" s="27">
        <f t="shared" si="21"/>
        <v>9427</v>
      </c>
      <c r="AA26" s="27">
        <f t="shared" si="22"/>
        <v>9215.626985</v>
      </c>
      <c r="AB26" s="27">
        <f t="shared" si="23"/>
        <v>9110.004543</v>
      </c>
      <c r="AC26" s="27">
        <f t="shared" si="24"/>
        <v>9004.424692</v>
      </c>
    </row>
    <row r="27">
      <c r="A27" s="24">
        <v>2.611606042E9</v>
      </c>
      <c r="B27" s="24" t="s">
        <v>64</v>
      </c>
      <c r="C27" s="24">
        <v>8086.0</v>
      </c>
      <c r="D27" s="24">
        <v>9246.0</v>
      </c>
      <c r="E27" s="24">
        <f t="shared" si="1"/>
        <v>-1160</v>
      </c>
      <c r="F27" s="81">
        <f t="shared" si="2"/>
        <v>-0.1254596582</v>
      </c>
      <c r="G27" s="82">
        <f t="shared" si="3"/>
        <v>0.006052988196</v>
      </c>
      <c r="H27" s="27">
        <f t="shared" si="4"/>
        <v>9610.37173</v>
      </c>
      <c r="I27" s="27">
        <f t="shared" si="5"/>
        <v>9614.42118</v>
      </c>
      <c r="J27" s="32">
        <f t="shared" si="6"/>
        <v>-0.002130056018</v>
      </c>
      <c r="K27" s="32">
        <f t="shared" si="7"/>
        <v>-0.01110923611</v>
      </c>
      <c r="L27" s="32">
        <f t="shared" si="8"/>
        <v>-102.7159971</v>
      </c>
      <c r="M27" s="27">
        <f t="shared" si="9"/>
        <v>9246</v>
      </c>
      <c r="N27" s="27">
        <f t="shared" si="25"/>
        <v>9226.305502</v>
      </c>
      <c r="O27" s="27">
        <f t="shared" si="10"/>
        <v>9206.652955</v>
      </c>
      <c r="P27" s="27">
        <f t="shared" si="11"/>
        <v>9187.042268</v>
      </c>
      <c r="Q27" s="27">
        <f t="shared" si="12"/>
        <v>9167.473353</v>
      </c>
      <c r="R27" s="27">
        <f t="shared" si="13"/>
        <v>9147.946122</v>
      </c>
      <c r="S27" s="27">
        <f t="shared" si="14"/>
        <v>9128.460484</v>
      </c>
      <c r="T27" s="27">
        <f t="shared" si="15"/>
        <v>9109.016352</v>
      </c>
      <c r="U27" s="27">
        <f t="shared" si="16"/>
        <v>9089.613637</v>
      </c>
      <c r="V27" s="27">
        <f t="shared" si="17"/>
        <v>9070.25225</v>
      </c>
      <c r="W27" s="27">
        <f t="shared" si="18"/>
        <v>9050.932105</v>
      </c>
      <c r="X27" s="27">
        <f t="shared" si="19"/>
        <v>9031.653113</v>
      </c>
      <c r="Y27" s="27">
        <f t="shared" si="20"/>
        <v>8086</v>
      </c>
      <c r="Z27" s="27">
        <f t="shared" si="21"/>
        <v>8086</v>
      </c>
      <c r="AA27" s="27">
        <f t="shared" si="22"/>
        <v>7906.378121</v>
      </c>
      <c r="AB27" s="27">
        <f t="shared" si="23"/>
        <v>7816.622134</v>
      </c>
      <c r="AC27" s="27">
        <f t="shared" si="24"/>
        <v>7726.902679</v>
      </c>
    </row>
    <row r="28">
      <c r="A28" s="24">
        <v>2.611606021E9</v>
      </c>
      <c r="B28" s="24" t="s">
        <v>65</v>
      </c>
      <c r="C28" s="24">
        <v>12797.0</v>
      </c>
      <c r="D28" s="24">
        <v>14491.0</v>
      </c>
      <c r="E28" s="24">
        <f t="shared" si="1"/>
        <v>-1694</v>
      </c>
      <c r="F28" s="81">
        <f t="shared" si="2"/>
        <v>-0.1169001449</v>
      </c>
      <c r="G28" s="82">
        <f t="shared" si="3"/>
        <v>0.009486680938</v>
      </c>
      <c r="H28" s="27">
        <f t="shared" si="4"/>
        <v>15062.06973</v>
      </c>
      <c r="I28" s="27">
        <f t="shared" si="5"/>
        <v>15068.41632</v>
      </c>
      <c r="J28" s="32">
        <f t="shared" si="6"/>
        <v>-0.002130056018</v>
      </c>
      <c r="K28" s="32">
        <f t="shared" si="7"/>
        <v>-0.01030627251</v>
      </c>
      <c r="L28" s="32">
        <f t="shared" si="8"/>
        <v>-149.3481949</v>
      </c>
      <c r="M28" s="27">
        <f t="shared" si="9"/>
        <v>14491</v>
      </c>
      <c r="N28" s="27">
        <f t="shared" si="25"/>
        <v>14460.13336</v>
      </c>
      <c r="O28" s="27">
        <f t="shared" si="10"/>
        <v>14429.33246</v>
      </c>
      <c r="P28" s="27">
        <f t="shared" si="11"/>
        <v>14398.59718</v>
      </c>
      <c r="Q28" s="27">
        <f t="shared" si="12"/>
        <v>14367.92736</v>
      </c>
      <c r="R28" s="27">
        <f t="shared" si="13"/>
        <v>14337.32287</v>
      </c>
      <c r="S28" s="27">
        <f t="shared" si="14"/>
        <v>14306.78357</v>
      </c>
      <c r="T28" s="27">
        <f t="shared" si="15"/>
        <v>14276.30932</v>
      </c>
      <c r="U28" s="27">
        <f t="shared" si="16"/>
        <v>14245.89998</v>
      </c>
      <c r="V28" s="27">
        <f t="shared" si="17"/>
        <v>14215.55541</v>
      </c>
      <c r="W28" s="27">
        <f t="shared" si="18"/>
        <v>14185.27548</v>
      </c>
      <c r="X28" s="27">
        <f t="shared" si="19"/>
        <v>14155.06005</v>
      </c>
      <c r="Y28" s="27">
        <f t="shared" si="20"/>
        <v>12797</v>
      </c>
      <c r="Z28" s="27">
        <f t="shared" si="21"/>
        <v>12797</v>
      </c>
      <c r="AA28" s="27">
        <f t="shared" si="22"/>
        <v>12533.27932</v>
      </c>
      <c r="AB28" s="27">
        <f t="shared" si="23"/>
        <v>12401.50595</v>
      </c>
      <c r="AC28" s="27">
        <f t="shared" si="24"/>
        <v>12269.7904</v>
      </c>
    </row>
    <row r="29">
      <c r="A29" s="24">
        <v>2.611606078E9</v>
      </c>
      <c r="B29" s="24" t="s">
        <v>66</v>
      </c>
      <c r="C29" s="24">
        <v>26740.0</v>
      </c>
      <c r="D29" s="24">
        <v>29892.0</v>
      </c>
      <c r="E29" s="24">
        <f t="shared" si="1"/>
        <v>-3152</v>
      </c>
      <c r="F29" s="81">
        <f t="shared" si="2"/>
        <v>-0.1054462733</v>
      </c>
      <c r="G29" s="82">
        <f t="shared" si="3"/>
        <v>0.01956910266</v>
      </c>
      <c r="H29" s="27">
        <f t="shared" si="4"/>
        <v>31070.00127</v>
      </c>
      <c r="I29" s="27">
        <f t="shared" si="5"/>
        <v>31083.093</v>
      </c>
      <c r="J29" s="32">
        <f t="shared" si="6"/>
        <v>-0.002130056018</v>
      </c>
      <c r="K29" s="32">
        <f t="shared" si="7"/>
        <v>-0.009242879079</v>
      </c>
      <c r="L29" s="32">
        <f t="shared" si="8"/>
        <v>-276.2881414</v>
      </c>
      <c r="M29" s="27">
        <f t="shared" si="9"/>
        <v>29892</v>
      </c>
      <c r="N29" s="27">
        <f t="shared" si="25"/>
        <v>29828.32837</v>
      </c>
      <c r="O29" s="27">
        <f t="shared" si="10"/>
        <v>29764.79236</v>
      </c>
      <c r="P29" s="27">
        <f t="shared" si="11"/>
        <v>29701.39168</v>
      </c>
      <c r="Q29" s="27">
        <f t="shared" si="12"/>
        <v>29638.12605</v>
      </c>
      <c r="R29" s="27">
        <f t="shared" si="13"/>
        <v>29574.99518</v>
      </c>
      <c r="S29" s="27">
        <f t="shared" si="14"/>
        <v>29511.99879</v>
      </c>
      <c r="T29" s="27">
        <f t="shared" si="15"/>
        <v>29449.13658</v>
      </c>
      <c r="U29" s="27">
        <f t="shared" si="16"/>
        <v>29386.40827</v>
      </c>
      <c r="V29" s="27">
        <f t="shared" si="17"/>
        <v>29323.81357</v>
      </c>
      <c r="W29" s="27">
        <f t="shared" si="18"/>
        <v>29261.3522</v>
      </c>
      <c r="X29" s="27">
        <f t="shared" si="19"/>
        <v>29199.02388</v>
      </c>
      <c r="Y29" s="27">
        <f t="shared" si="20"/>
        <v>26740</v>
      </c>
      <c r="Z29" s="27">
        <f t="shared" si="21"/>
        <v>26740</v>
      </c>
      <c r="AA29" s="27">
        <f t="shared" si="22"/>
        <v>26245.81215</v>
      </c>
      <c r="AB29" s="27">
        <f t="shared" si="23"/>
        <v>25998.89995</v>
      </c>
      <c r="AC29" s="27">
        <f t="shared" si="24"/>
        <v>25752.10856</v>
      </c>
    </row>
    <row r="30">
      <c r="A30" s="24">
        <v>2.611606035E9</v>
      </c>
      <c r="B30" s="24" t="s">
        <v>67</v>
      </c>
      <c r="C30" s="24">
        <v>39012.0</v>
      </c>
      <c r="D30" s="24">
        <v>43523.0</v>
      </c>
      <c r="E30" s="24">
        <f t="shared" si="1"/>
        <v>-4511</v>
      </c>
      <c r="F30" s="81">
        <f t="shared" si="2"/>
        <v>-0.1036463479</v>
      </c>
      <c r="G30" s="82">
        <f t="shared" si="3"/>
        <v>0.02849277582</v>
      </c>
      <c r="H30" s="27">
        <f t="shared" si="4"/>
        <v>45238.17963</v>
      </c>
      <c r="I30" s="27">
        <f t="shared" si="5"/>
        <v>45257.24129</v>
      </c>
      <c r="J30" s="32">
        <f t="shared" si="6"/>
        <v>-0.002130056018</v>
      </c>
      <c r="K30" s="32">
        <f t="shared" si="7"/>
        <v>-0.009076907457</v>
      </c>
      <c r="L30" s="32">
        <f t="shared" si="8"/>
        <v>-395.0542432</v>
      </c>
      <c r="M30" s="27">
        <f t="shared" si="9"/>
        <v>43523</v>
      </c>
      <c r="N30" s="27">
        <f t="shared" si="25"/>
        <v>43430.29357</v>
      </c>
      <c r="O30" s="27">
        <f t="shared" si="10"/>
        <v>43337.78461</v>
      </c>
      <c r="P30" s="27">
        <f t="shared" si="11"/>
        <v>43245.4727</v>
      </c>
      <c r="Q30" s="27">
        <f t="shared" si="12"/>
        <v>43153.35743</v>
      </c>
      <c r="R30" s="27">
        <f t="shared" si="13"/>
        <v>43061.43836</v>
      </c>
      <c r="S30" s="27">
        <f t="shared" si="14"/>
        <v>42969.71508</v>
      </c>
      <c r="T30" s="27">
        <f t="shared" si="15"/>
        <v>42878.18718</v>
      </c>
      <c r="U30" s="27">
        <f t="shared" si="16"/>
        <v>42786.85424</v>
      </c>
      <c r="V30" s="27">
        <f t="shared" si="17"/>
        <v>42695.71584</v>
      </c>
      <c r="W30" s="27">
        <f t="shared" si="18"/>
        <v>42604.77158</v>
      </c>
      <c r="X30" s="27">
        <f t="shared" si="19"/>
        <v>42514.02103</v>
      </c>
      <c r="Y30" s="27">
        <f t="shared" si="20"/>
        <v>39012</v>
      </c>
      <c r="Z30" s="27">
        <f t="shared" si="21"/>
        <v>39012</v>
      </c>
      <c r="AA30" s="27">
        <f t="shared" si="22"/>
        <v>38303.96038</v>
      </c>
      <c r="AB30" s="27">
        <f t="shared" si="23"/>
        <v>37950.20569</v>
      </c>
      <c r="AC30" s="27">
        <f t="shared" si="24"/>
        <v>37596.62725</v>
      </c>
    </row>
    <row r="31">
      <c r="A31" s="24">
        <v>2.611606089E9</v>
      </c>
      <c r="B31" s="24" t="s">
        <v>68</v>
      </c>
      <c r="C31" s="24">
        <v>45448.0</v>
      </c>
      <c r="D31" s="24">
        <v>50533.0</v>
      </c>
      <c r="E31" s="24">
        <f t="shared" si="1"/>
        <v>-5085</v>
      </c>
      <c r="F31" s="81">
        <f t="shared" si="2"/>
        <v>-0.1006273128</v>
      </c>
      <c r="G31" s="82">
        <f t="shared" si="3"/>
        <v>0.03308194382</v>
      </c>
      <c r="H31" s="27">
        <f t="shared" si="4"/>
        <v>52524.43377</v>
      </c>
      <c r="I31" s="27">
        <f t="shared" si="5"/>
        <v>52546.56559</v>
      </c>
      <c r="J31" s="32">
        <f t="shared" si="6"/>
        <v>-0.002130056018</v>
      </c>
      <c r="K31" s="32">
        <f t="shared" si="7"/>
        <v>-0.008799206127</v>
      </c>
      <c r="L31" s="32">
        <f t="shared" si="8"/>
        <v>-444.6502832</v>
      </c>
      <c r="M31" s="27">
        <f t="shared" si="9"/>
        <v>50533</v>
      </c>
      <c r="N31" s="27">
        <f t="shared" si="25"/>
        <v>50425.36188</v>
      </c>
      <c r="O31" s="27">
        <f t="shared" si="10"/>
        <v>50317.95303</v>
      </c>
      <c r="P31" s="27">
        <f t="shared" si="11"/>
        <v>50210.77298</v>
      </c>
      <c r="Q31" s="27">
        <f t="shared" si="12"/>
        <v>50103.82122</v>
      </c>
      <c r="R31" s="27">
        <f t="shared" si="13"/>
        <v>49997.09727</v>
      </c>
      <c r="S31" s="27">
        <f t="shared" si="14"/>
        <v>49890.60065</v>
      </c>
      <c r="T31" s="27">
        <f t="shared" si="15"/>
        <v>49784.33088</v>
      </c>
      <c r="U31" s="27">
        <f t="shared" si="16"/>
        <v>49678.28746</v>
      </c>
      <c r="V31" s="27">
        <f t="shared" si="17"/>
        <v>49572.46993</v>
      </c>
      <c r="W31" s="27">
        <f t="shared" si="18"/>
        <v>49466.87779</v>
      </c>
      <c r="X31" s="27">
        <f t="shared" si="19"/>
        <v>49361.51057</v>
      </c>
      <c r="Y31" s="27">
        <f t="shared" si="20"/>
        <v>45448</v>
      </c>
      <c r="Z31" s="27">
        <f t="shared" si="21"/>
        <v>45448</v>
      </c>
      <c r="AA31" s="27">
        <f t="shared" si="22"/>
        <v>44648.39356</v>
      </c>
      <c r="AB31" s="27">
        <f t="shared" si="23"/>
        <v>44248.89921</v>
      </c>
      <c r="AC31" s="27">
        <f t="shared" si="24"/>
        <v>43849.61019</v>
      </c>
    </row>
    <row r="32">
      <c r="A32" s="24">
        <v>2.611606068E9</v>
      </c>
      <c r="B32" s="24" t="s">
        <v>69</v>
      </c>
      <c r="C32" s="24">
        <v>7664.0</v>
      </c>
      <c r="D32" s="24">
        <v>8476.0</v>
      </c>
      <c r="E32" s="24">
        <f t="shared" si="1"/>
        <v>-812</v>
      </c>
      <c r="F32" s="81">
        <f t="shared" si="2"/>
        <v>-0.09579990562</v>
      </c>
      <c r="G32" s="82">
        <f t="shared" si="3"/>
        <v>0.005548899844</v>
      </c>
      <c r="H32" s="27">
        <f t="shared" si="4"/>
        <v>8810.027124</v>
      </c>
      <c r="I32" s="27">
        <f t="shared" si="5"/>
        <v>8813.739338</v>
      </c>
      <c r="J32" s="32">
        <f t="shared" si="6"/>
        <v>-0.002130056018</v>
      </c>
      <c r="K32" s="32">
        <f t="shared" si="7"/>
        <v>-0.008356935024</v>
      </c>
      <c r="L32" s="32">
        <f t="shared" si="8"/>
        <v>-70.83338126</v>
      </c>
      <c r="M32" s="27">
        <f t="shared" si="9"/>
        <v>8476</v>
      </c>
      <c r="N32" s="27">
        <f t="shared" si="25"/>
        <v>8457.945645</v>
      </c>
      <c r="O32" s="27">
        <f t="shared" si="10"/>
        <v>8439.929747</v>
      </c>
      <c r="P32" s="27">
        <f t="shared" si="11"/>
        <v>8421.952224</v>
      </c>
      <c r="Q32" s="27">
        <f t="shared" si="12"/>
        <v>8404.012994</v>
      </c>
      <c r="R32" s="27">
        <f t="shared" si="13"/>
        <v>8386.111976</v>
      </c>
      <c r="S32" s="27">
        <f t="shared" si="14"/>
        <v>8368.249087</v>
      </c>
      <c r="T32" s="27">
        <f t="shared" si="15"/>
        <v>8350.424248</v>
      </c>
      <c r="U32" s="27">
        <f t="shared" si="16"/>
        <v>8332.637377</v>
      </c>
      <c r="V32" s="27">
        <f t="shared" si="17"/>
        <v>8314.888392</v>
      </c>
      <c r="W32" s="27">
        <f t="shared" si="18"/>
        <v>8297.177214</v>
      </c>
      <c r="X32" s="27">
        <f t="shared" si="19"/>
        <v>8279.503762</v>
      </c>
      <c r="Y32" s="27">
        <f t="shared" si="20"/>
        <v>7664</v>
      </c>
      <c r="Z32" s="27">
        <f t="shared" si="21"/>
        <v>7664</v>
      </c>
      <c r="AA32" s="27">
        <f t="shared" si="22"/>
        <v>7535.939673</v>
      </c>
      <c r="AB32" s="27">
        <f t="shared" si="23"/>
        <v>7471.961594</v>
      </c>
      <c r="AC32" s="27">
        <f t="shared" si="24"/>
        <v>7408.01814</v>
      </c>
    </row>
    <row r="33">
      <c r="A33" s="24">
        <v>2.611606047E9</v>
      </c>
      <c r="B33" s="24" t="s">
        <v>70</v>
      </c>
      <c r="C33" s="24">
        <v>4221.0</v>
      </c>
      <c r="D33" s="24">
        <v>4650.0</v>
      </c>
      <c r="E33" s="24">
        <f t="shared" si="1"/>
        <v>-429</v>
      </c>
      <c r="F33" s="81">
        <f t="shared" si="2"/>
        <v>-0.09225806452</v>
      </c>
      <c r="G33" s="82">
        <f t="shared" si="3"/>
        <v>0.003044169924</v>
      </c>
      <c r="H33" s="27">
        <f t="shared" si="4"/>
        <v>4833.249897</v>
      </c>
      <c r="I33" s="27">
        <f t="shared" si="5"/>
        <v>4835.286447</v>
      </c>
      <c r="J33" s="32">
        <f t="shared" si="6"/>
        <v>-0.002130056018</v>
      </c>
      <c r="K33" s="32">
        <f t="shared" si="7"/>
        <v>-0.008033817731</v>
      </c>
      <c r="L33" s="32">
        <f t="shared" si="8"/>
        <v>-37.35725245</v>
      </c>
      <c r="M33" s="27">
        <f t="shared" si="9"/>
        <v>4650</v>
      </c>
      <c r="N33" s="27">
        <f t="shared" si="25"/>
        <v>4640.09524</v>
      </c>
      <c r="O33" s="27">
        <f t="shared" si="10"/>
        <v>4630.211577</v>
      </c>
      <c r="P33" s="27">
        <f t="shared" si="11"/>
        <v>4620.348967</v>
      </c>
      <c r="Q33" s="27">
        <f t="shared" si="12"/>
        <v>4610.507365</v>
      </c>
      <c r="R33" s="27">
        <f t="shared" si="13"/>
        <v>4600.686726</v>
      </c>
      <c r="S33" s="27">
        <f t="shared" si="14"/>
        <v>4590.887005</v>
      </c>
      <c r="T33" s="27">
        <f t="shared" si="15"/>
        <v>4581.108159</v>
      </c>
      <c r="U33" s="27">
        <f t="shared" si="16"/>
        <v>4571.350142</v>
      </c>
      <c r="V33" s="27">
        <f t="shared" si="17"/>
        <v>4561.61291</v>
      </c>
      <c r="W33" s="27">
        <f t="shared" si="18"/>
        <v>4551.896419</v>
      </c>
      <c r="X33" s="27">
        <f t="shared" si="19"/>
        <v>4542.200624</v>
      </c>
      <c r="Y33" s="27">
        <f t="shared" si="20"/>
        <v>4221</v>
      </c>
      <c r="Z33" s="27">
        <f t="shared" si="21"/>
        <v>4221</v>
      </c>
      <c r="AA33" s="27">
        <f t="shared" si="22"/>
        <v>4153.197662</v>
      </c>
      <c r="AB33" s="27">
        <f t="shared" si="23"/>
        <v>4119.325179</v>
      </c>
      <c r="AC33" s="27">
        <f t="shared" si="24"/>
        <v>4085.471766</v>
      </c>
    </row>
    <row r="34">
      <c r="A34" s="24">
        <v>2.611606066E9</v>
      </c>
      <c r="B34" s="24" t="s">
        <v>71</v>
      </c>
      <c r="C34" s="24">
        <v>23074.0</v>
      </c>
      <c r="D34" s="24">
        <v>25389.0</v>
      </c>
      <c r="E34" s="24">
        <f t="shared" si="1"/>
        <v>-2315</v>
      </c>
      <c r="F34" s="81">
        <f t="shared" si="2"/>
        <v>-0.09118122021</v>
      </c>
      <c r="G34" s="82">
        <f t="shared" si="3"/>
        <v>0.01662116778</v>
      </c>
      <c r="H34" s="27">
        <f t="shared" si="4"/>
        <v>26389.54444</v>
      </c>
      <c r="I34" s="27">
        <f t="shared" si="5"/>
        <v>26400.664</v>
      </c>
      <c r="J34" s="32">
        <f t="shared" si="6"/>
        <v>-0.002130056018</v>
      </c>
      <c r="K34" s="32">
        <f t="shared" si="7"/>
        <v>-0.007935807792</v>
      </c>
      <c r="L34" s="32">
        <f t="shared" si="8"/>
        <v>-201.482224</v>
      </c>
      <c r="M34" s="27">
        <f t="shared" si="9"/>
        <v>25389</v>
      </c>
      <c r="N34" s="27">
        <f t="shared" si="25"/>
        <v>25334.92001</v>
      </c>
      <c r="O34" s="27">
        <f t="shared" si="10"/>
        <v>25280.95521</v>
      </c>
      <c r="P34" s="27">
        <f t="shared" si="11"/>
        <v>25227.10536</v>
      </c>
      <c r="Q34" s="27">
        <f t="shared" si="12"/>
        <v>25173.37021</v>
      </c>
      <c r="R34" s="27">
        <f t="shared" si="13"/>
        <v>25119.74952</v>
      </c>
      <c r="S34" s="27">
        <f t="shared" si="14"/>
        <v>25066.24305</v>
      </c>
      <c r="T34" s="27">
        <f t="shared" si="15"/>
        <v>25012.85055</v>
      </c>
      <c r="U34" s="27">
        <f t="shared" si="16"/>
        <v>24959.57177</v>
      </c>
      <c r="V34" s="27">
        <f t="shared" si="17"/>
        <v>24906.40649</v>
      </c>
      <c r="W34" s="27">
        <f t="shared" si="18"/>
        <v>24853.35445</v>
      </c>
      <c r="X34" s="27">
        <f t="shared" si="19"/>
        <v>24800.41541</v>
      </c>
      <c r="Y34" s="27">
        <f t="shared" si="20"/>
        <v>23074</v>
      </c>
      <c r="Z34" s="27">
        <f t="shared" si="21"/>
        <v>23074</v>
      </c>
      <c r="AA34" s="27">
        <f t="shared" si="22"/>
        <v>22707.88303</v>
      </c>
      <c r="AB34" s="27">
        <f t="shared" si="23"/>
        <v>22524.98136</v>
      </c>
      <c r="AC34" s="27">
        <f t="shared" si="24"/>
        <v>22342.18393</v>
      </c>
    </row>
    <row r="35">
      <c r="A35" s="24">
        <v>2.611606041E9</v>
      </c>
      <c r="B35" s="24" t="s">
        <v>72</v>
      </c>
      <c r="C35" s="24">
        <v>10620.0</v>
      </c>
      <c r="D35" s="24">
        <v>11675.0</v>
      </c>
      <c r="E35" s="24">
        <f t="shared" si="1"/>
        <v>-1055</v>
      </c>
      <c r="F35" s="81">
        <f t="shared" si="2"/>
        <v>-0.0903640257</v>
      </c>
      <c r="G35" s="82">
        <f t="shared" si="3"/>
        <v>0.007643157819</v>
      </c>
      <c r="H35" s="27">
        <f t="shared" si="4"/>
        <v>12135.09517</v>
      </c>
      <c r="I35" s="27">
        <f t="shared" si="5"/>
        <v>12140.20844</v>
      </c>
      <c r="J35" s="32">
        <f t="shared" si="6"/>
        <v>-0.002130056018</v>
      </c>
      <c r="K35" s="32">
        <f t="shared" si="7"/>
        <v>-0.007861501129</v>
      </c>
      <c r="L35" s="32">
        <f t="shared" si="8"/>
        <v>-91.78302568</v>
      </c>
      <c r="M35" s="27">
        <f t="shared" si="9"/>
        <v>11675</v>
      </c>
      <c r="N35" s="27">
        <f t="shared" si="25"/>
        <v>11650.1316</v>
      </c>
      <c r="O35" s="27">
        <f t="shared" si="10"/>
        <v>11625.31616</v>
      </c>
      <c r="P35" s="27">
        <f t="shared" si="11"/>
        <v>11600.55359</v>
      </c>
      <c r="Q35" s="27">
        <f t="shared" si="12"/>
        <v>11575.84376</v>
      </c>
      <c r="R35" s="27">
        <f t="shared" si="13"/>
        <v>11551.18656</v>
      </c>
      <c r="S35" s="27">
        <f t="shared" si="14"/>
        <v>11526.58189</v>
      </c>
      <c r="T35" s="27">
        <f t="shared" si="15"/>
        <v>11502.02962</v>
      </c>
      <c r="U35" s="27">
        <f t="shared" si="16"/>
        <v>11477.52966</v>
      </c>
      <c r="V35" s="27">
        <f t="shared" si="17"/>
        <v>11453.08188</v>
      </c>
      <c r="W35" s="27">
        <f t="shared" si="18"/>
        <v>11428.68617</v>
      </c>
      <c r="X35" s="27">
        <f t="shared" si="19"/>
        <v>11404.34243</v>
      </c>
      <c r="Y35" s="27">
        <f t="shared" si="20"/>
        <v>10620</v>
      </c>
      <c r="Z35" s="27">
        <f t="shared" si="21"/>
        <v>10620</v>
      </c>
      <c r="AA35" s="27">
        <f t="shared" si="22"/>
        <v>10453.0699</v>
      </c>
      <c r="AB35" s="27">
        <f t="shared" si="23"/>
        <v>10369.67702</v>
      </c>
      <c r="AC35" s="27">
        <f t="shared" si="24"/>
        <v>10286.33213</v>
      </c>
    </row>
    <row r="36">
      <c r="A36" s="24">
        <v>2.611606094E9</v>
      </c>
      <c r="B36" s="24" t="s">
        <v>73</v>
      </c>
      <c r="C36" s="24">
        <v>16685.0</v>
      </c>
      <c r="D36" s="24">
        <v>18320.0</v>
      </c>
      <c r="E36" s="24">
        <f t="shared" si="1"/>
        <v>-1635</v>
      </c>
      <c r="F36" s="81">
        <f t="shared" si="2"/>
        <v>-0.08924672489</v>
      </c>
      <c r="G36" s="82">
        <f t="shared" si="3"/>
        <v>0.01199337484</v>
      </c>
      <c r="H36" s="27">
        <f t="shared" si="4"/>
        <v>19041.96519</v>
      </c>
      <c r="I36" s="27">
        <f t="shared" si="5"/>
        <v>19049.98875</v>
      </c>
      <c r="J36" s="32">
        <f t="shared" si="6"/>
        <v>-0.002130056018</v>
      </c>
      <c r="K36" s="32">
        <f t="shared" si="7"/>
        <v>-0.007760005072</v>
      </c>
      <c r="L36" s="32">
        <f t="shared" si="8"/>
        <v>-142.1632929</v>
      </c>
      <c r="M36" s="27">
        <f t="shared" si="9"/>
        <v>18320</v>
      </c>
      <c r="N36" s="27">
        <f t="shared" si="25"/>
        <v>18280.97737</v>
      </c>
      <c r="O36" s="27">
        <f t="shared" si="10"/>
        <v>18242.03787</v>
      </c>
      <c r="P36" s="27">
        <f t="shared" si="11"/>
        <v>18203.18131</v>
      </c>
      <c r="Q36" s="27">
        <f t="shared" si="12"/>
        <v>18164.40751</v>
      </c>
      <c r="R36" s="27">
        <f t="shared" si="13"/>
        <v>18125.7163</v>
      </c>
      <c r="S36" s="27">
        <f t="shared" si="14"/>
        <v>18087.10751</v>
      </c>
      <c r="T36" s="27">
        <f t="shared" si="15"/>
        <v>18048.58096</v>
      </c>
      <c r="U36" s="27">
        <f t="shared" si="16"/>
        <v>18010.13647</v>
      </c>
      <c r="V36" s="27">
        <f t="shared" si="17"/>
        <v>17971.77387</v>
      </c>
      <c r="W36" s="27">
        <f t="shared" si="18"/>
        <v>17933.49299</v>
      </c>
      <c r="X36" s="27">
        <f t="shared" si="19"/>
        <v>17895.29364</v>
      </c>
      <c r="Y36" s="27">
        <f t="shared" si="20"/>
        <v>16685</v>
      </c>
      <c r="Z36" s="27">
        <f t="shared" si="21"/>
        <v>16685</v>
      </c>
      <c r="AA36" s="27">
        <f t="shared" si="22"/>
        <v>16426.12433</v>
      </c>
      <c r="AB36" s="27">
        <f t="shared" si="23"/>
        <v>16296.79989</v>
      </c>
      <c r="AC36" s="27">
        <f t="shared" si="24"/>
        <v>16167.55083</v>
      </c>
    </row>
    <row r="37">
      <c r="A37" s="24">
        <v>2.611606036E9</v>
      </c>
      <c r="B37" s="24" t="s">
        <v>74</v>
      </c>
      <c r="C37" s="24">
        <v>7728.0</v>
      </c>
      <c r="D37" s="24">
        <v>8472.0</v>
      </c>
      <c r="E37" s="24">
        <f t="shared" si="1"/>
        <v>-744</v>
      </c>
      <c r="F37" s="81">
        <f t="shared" si="2"/>
        <v>-0.08781869688</v>
      </c>
      <c r="G37" s="82">
        <f t="shared" si="3"/>
        <v>0.005546281203</v>
      </c>
      <c r="H37" s="27">
        <f t="shared" si="4"/>
        <v>8805.86949</v>
      </c>
      <c r="I37" s="27">
        <f t="shared" si="5"/>
        <v>8809.579952</v>
      </c>
      <c r="J37" s="32">
        <f t="shared" si="6"/>
        <v>-0.002130056018</v>
      </c>
      <c r="K37" s="32">
        <f t="shared" si="7"/>
        <v>-0.007630448467</v>
      </c>
      <c r="L37" s="32">
        <f t="shared" si="8"/>
        <v>-64.64515941</v>
      </c>
      <c r="M37" s="27">
        <f t="shared" si="9"/>
        <v>8472</v>
      </c>
      <c r="N37" s="27">
        <f t="shared" si="25"/>
        <v>8453.954165</v>
      </c>
      <c r="O37" s="27">
        <f t="shared" si="10"/>
        <v>8435.946769</v>
      </c>
      <c r="P37" s="27">
        <f t="shared" si="11"/>
        <v>8417.97773</v>
      </c>
      <c r="Q37" s="27">
        <f t="shared" si="12"/>
        <v>8400.046966</v>
      </c>
      <c r="R37" s="27">
        <f t="shared" si="13"/>
        <v>8382.154396</v>
      </c>
      <c r="S37" s="27">
        <f t="shared" si="14"/>
        <v>8364.299937</v>
      </c>
      <c r="T37" s="27">
        <f t="shared" si="15"/>
        <v>8346.48351</v>
      </c>
      <c r="U37" s="27">
        <f t="shared" si="16"/>
        <v>8328.705032</v>
      </c>
      <c r="V37" s="27">
        <f t="shared" si="17"/>
        <v>8310.964424</v>
      </c>
      <c r="W37" s="27">
        <f t="shared" si="18"/>
        <v>8293.261604</v>
      </c>
      <c r="X37" s="27">
        <f t="shared" si="19"/>
        <v>8275.596492</v>
      </c>
      <c r="Y37" s="27">
        <f t="shared" si="20"/>
        <v>7728</v>
      </c>
      <c r="Z37" s="27">
        <f t="shared" si="21"/>
        <v>7728</v>
      </c>
      <c r="AA37" s="27">
        <f t="shared" si="22"/>
        <v>7610.098852</v>
      </c>
      <c r="AB37" s="27">
        <f t="shared" si="23"/>
        <v>7551.200797</v>
      </c>
      <c r="AC37" s="27">
        <f t="shared" si="24"/>
        <v>7492.337656</v>
      </c>
    </row>
    <row r="38">
      <c r="A38" s="24">
        <v>2.611606054E9</v>
      </c>
      <c r="B38" s="24" t="s">
        <v>75</v>
      </c>
      <c r="C38" s="24">
        <v>6954.0</v>
      </c>
      <c r="D38" s="24">
        <v>7615.0</v>
      </c>
      <c r="E38" s="24">
        <f t="shared" si="1"/>
        <v>-661</v>
      </c>
      <c r="F38" s="81">
        <f t="shared" si="2"/>
        <v>-0.08680236376</v>
      </c>
      <c r="G38" s="82">
        <f t="shared" si="3"/>
        <v>0.004985237413</v>
      </c>
      <c r="H38" s="27">
        <f t="shared" si="4"/>
        <v>7915.096337</v>
      </c>
      <c r="I38" s="27">
        <f t="shared" si="5"/>
        <v>7918.43146</v>
      </c>
      <c r="J38" s="32">
        <f t="shared" si="6"/>
        <v>-0.002130056018</v>
      </c>
      <c r="K38" s="32">
        <f t="shared" si="7"/>
        <v>-0.007538355721</v>
      </c>
      <c r="L38" s="32">
        <f t="shared" si="8"/>
        <v>-57.40457881</v>
      </c>
      <c r="M38" s="27">
        <f t="shared" si="9"/>
        <v>7615</v>
      </c>
      <c r="N38" s="27">
        <f t="shared" si="25"/>
        <v>7598.779623</v>
      </c>
      <c r="O38" s="27">
        <f t="shared" si="10"/>
        <v>7582.593797</v>
      </c>
      <c r="P38" s="27">
        <f t="shared" si="11"/>
        <v>7566.442448</v>
      </c>
      <c r="Q38" s="27">
        <f t="shared" si="12"/>
        <v>7550.325501</v>
      </c>
      <c r="R38" s="27">
        <f t="shared" si="13"/>
        <v>7534.242885</v>
      </c>
      <c r="S38" s="27">
        <f t="shared" si="14"/>
        <v>7518.194526</v>
      </c>
      <c r="T38" s="27">
        <f t="shared" si="15"/>
        <v>7502.18035</v>
      </c>
      <c r="U38" s="27">
        <f t="shared" si="16"/>
        <v>7486.200286</v>
      </c>
      <c r="V38" s="27">
        <f t="shared" si="17"/>
        <v>7470.25426</v>
      </c>
      <c r="W38" s="27">
        <f t="shared" si="18"/>
        <v>7454.3422</v>
      </c>
      <c r="X38" s="27">
        <f t="shared" si="19"/>
        <v>7438.464033</v>
      </c>
      <c r="Y38" s="27">
        <f t="shared" si="20"/>
        <v>6954</v>
      </c>
      <c r="Z38" s="27">
        <f t="shared" si="21"/>
        <v>6954</v>
      </c>
      <c r="AA38" s="27">
        <f t="shared" si="22"/>
        <v>6849.1881</v>
      </c>
      <c r="AB38" s="27">
        <f t="shared" si="23"/>
        <v>6796.82941</v>
      </c>
      <c r="AC38" s="27">
        <f t="shared" si="24"/>
        <v>6744.502136</v>
      </c>
    </row>
    <row r="39">
      <c r="A39" s="24">
        <v>2.611606012E9</v>
      </c>
      <c r="B39" s="24" t="s">
        <v>76</v>
      </c>
      <c r="C39" s="63">
        <v>1867.0</v>
      </c>
      <c r="D39" s="24">
        <v>2037.0</v>
      </c>
      <c r="E39" s="24">
        <f t="shared" si="1"/>
        <v>-170</v>
      </c>
      <c r="F39" s="81">
        <f t="shared" si="2"/>
        <v>-0.08345606284</v>
      </c>
      <c r="G39" s="82">
        <f t="shared" si="3"/>
        <v>0.001333542825</v>
      </c>
      <c r="H39" s="27">
        <f t="shared" si="4"/>
        <v>2117.275277</v>
      </c>
      <c r="I39" s="27">
        <f t="shared" si="5"/>
        <v>2118.167418</v>
      </c>
      <c r="J39" s="32">
        <f t="shared" si="6"/>
        <v>-0.002130056018</v>
      </c>
      <c r="K39" s="32">
        <f t="shared" si="7"/>
        <v>-0.007235800681</v>
      </c>
      <c r="L39" s="32">
        <f t="shared" si="8"/>
        <v>-14.73932599</v>
      </c>
      <c r="M39" s="27">
        <f t="shared" si="9"/>
        <v>2037</v>
      </c>
      <c r="N39" s="27">
        <f t="shared" si="25"/>
        <v>2032.661076</v>
      </c>
      <c r="O39" s="27">
        <f t="shared" si="10"/>
        <v>2028.331394</v>
      </c>
      <c r="P39" s="27">
        <f t="shared" si="11"/>
        <v>2024.010934</v>
      </c>
      <c r="Q39" s="27">
        <f t="shared" si="12"/>
        <v>2019.699678</v>
      </c>
      <c r="R39" s="27">
        <f t="shared" si="13"/>
        <v>2015.397604</v>
      </c>
      <c r="S39" s="27">
        <f t="shared" si="14"/>
        <v>2011.104695</v>
      </c>
      <c r="T39" s="27">
        <f t="shared" si="15"/>
        <v>2006.820929</v>
      </c>
      <c r="U39" s="27">
        <f t="shared" si="16"/>
        <v>2002.546288</v>
      </c>
      <c r="V39" s="27">
        <f t="shared" si="17"/>
        <v>1998.280752</v>
      </c>
      <c r="W39" s="27">
        <f t="shared" si="18"/>
        <v>1994.024302</v>
      </c>
      <c r="X39" s="27">
        <f t="shared" si="19"/>
        <v>1989.776919</v>
      </c>
      <c r="Y39" s="27">
        <f t="shared" si="20"/>
        <v>1867</v>
      </c>
      <c r="Z39" s="27">
        <f t="shared" si="21"/>
        <v>1867</v>
      </c>
      <c r="AA39" s="27">
        <f t="shared" si="22"/>
        <v>1839.989991</v>
      </c>
      <c r="AB39" s="27">
        <f t="shared" si="23"/>
        <v>1826.497675</v>
      </c>
      <c r="AC39" s="27">
        <f t="shared" si="24"/>
        <v>1813.013793</v>
      </c>
    </row>
    <row r="40">
      <c r="A40" s="24">
        <v>2.611606052E9</v>
      </c>
      <c r="B40" s="24" t="s">
        <v>77</v>
      </c>
      <c r="C40" s="24">
        <v>11313.0</v>
      </c>
      <c r="D40" s="24">
        <v>12295.0</v>
      </c>
      <c r="E40" s="24">
        <f t="shared" si="1"/>
        <v>-982</v>
      </c>
      <c r="F40" s="81">
        <f t="shared" si="2"/>
        <v>-0.0798698658</v>
      </c>
      <c r="G40" s="82">
        <f t="shared" si="3"/>
        <v>0.008049047142</v>
      </c>
      <c r="H40" s="27">
        <f t="shared" si="4"/>
        <v>12779.52849</v>
      </c>
      <c r="I40" s="27">
        <f t="shared" si="5"/>
        <v>12784.9133</v>
      </c>
      <c r="J40" s="32">
        <f t="shared" si="6"/>
        <v>-0.002130056018</v>
      </c>
      <c r="K40" s="32">
        <f t="shared" si="7"/>
        <v>-0.00691267749</v>
      </c>
      <c r="L40" s="32">
        <f t="shared" si="8"/>
        <v>-84.99136974</v>
      </c>
      <c r="M40" s="27">
        <f t="shared" si="9"/>
        <v>12295</v>
      </c>
      <c r="N40" s="27">
        <f t="shared" si="25"/>
        <v>12268.81096</v>
      </c>
      <c r="O40" s="27">
        <f t="shared" si="10"/>
        <v>12242.67771</v>
      </c>
      <c r="P40" s="27">
        <f t="shared" si="11"/>
        <v>12216.60012</v>
      </c>
      <c r="Q40" s="27">
        <f t="shared" si="12"/>
        <v>12190.57807</v>
      </c>
      <c r="R40" s="27">
        <f t="shared" si="13"/>
        <v>12164.61146</v>
      </c>
      <c r="S40" s="27">
        <f t="shared" si="14"/>
        <v>12138.70016</v>
      </c>
      <c r="T40" s="27">
        <f t="shared" si="15"/>
        <v>12112.84405</v>
      </c>
      <c r="U40" s="27">
        <f t="shared" si="16"/>
        <v>12087.04301</v>
      </c>
      <c r="V40" s="27">
        <f t="shared" si="17"/>
        <v>12061.29693</v>
      </c>
      <c r="W40" s="27">
        <f t="shared" si="18"/>
        <v>12035.60569</v>
      </c>
      <c r="X40" s="27">
        <f t="shared" si="19"/>
        <v>12009.96918</v>
      </c>
      <c r="Y40" s="27">
        <f t="shared" si="20"/>
        <v>11313</v>
      </c>
      <c r="Z40" s="27">
        <f t="shared" si="21"/>
        <v>11313</v>
      </c>
      <c r="AA40" s="27">
        <f t="shared" si="22"/>
        <v>11156.64509</v>
      </c>
      <c r="AB40" s="27">
        <f t="shared" si="23"/>
        <v>11078.54452</v>
      </c>
      <c r="AC40" s="27">
        <f t="shared" si="24"/>
        <v>11000.49505</v>
      </c>
    </row>
    <row r="41">
      <c r="A41" s="24">
        <v>2.611606053E9</v>
      </c>
      <c r="B41" s="24" t="s">
        <v>78</v>
      </c>
      <c r="C41" s="24">
        <v>6397.0</v>
      </c>
      <c r="D41" s="24">
        <v>6947.0</v>
      </c>
      <c r="E41" s="24">
        <f t="shared" si="1"/>
        <v>-550</v>
      </c>
      <c r="F41" s="81">
        <f t="shared" si="2"/>
        <v>-0.07917086512</v>
      </c>
      <c r="G41" s="82">
        <f t="shared" si="3"/>
        <v>0.0045479244</v>
      </c>
      <c r="H41" s="27">
        <f t="shared" si="4"/>
        <v>7220.771405</v>
      </c>
      <c r="I41" s="27">
        <f t="shared" si="5"/>
        <v>7223.813967</v>
      </c>
      <c r="J41" s="32">
        <f t="shared" si="6"/>
        <v>-0.002130056018</v>
      </c>
      <c r="K41" s="32">
        <f t="shared" si="7"/>
        <v>-0.006849830662</v>
      </c>
      <c r="L41" s="32">
        <f t="shared" si="8"/>
        <v>-47.58577361</v>
      </c>
      <c r="M41" s="27">
        <f t="shared" si="9"/>
        <v>6947</v>
      </c>
      <c r="N41" s="27">
        <f t="shared" si="25"/>
        <v>6932.202501</v>
      </c>
      <c r="O41" s="27">
        <f t="shared" si="10"/>
        <v>6917.436521</v>
      </c>
      <c r="P41" s="27">
        <f t="shared" si="11"/>
        <v>6902.701994</v>
      </c>
      <c r="Q41" s="27">
        <f t="shared" si="12"/>
        <v>6887.998852</v>
      </c>
      <c r="R41" s="27">
        <f t="shared" si="13"/>
        <v>6873.327029</v>
      </c>
      <c r="S41" s="27">
        <f t="shared" si="14"/>
        <v>6858.686457</v>
      </c>
      <c r="T41" s="27">
        <f t="shared" si="15"/>
        <v>6844.077071</v>
      </c>
      <c r="U41" s="27">
        <f t="shared" si="16"/>
        <v>6829.498803</v>
      </c>
      <c r="V41" s="27">
        <f t="shared" si="17"/>
        <v>6814.951588</v>
      </c>
      <c r="W41" s="27">
        <f t="shared" si="18"/>
        <v>6800.435359</v>
      </c>
      <c r="X41" s="27">
        <f t="shared" si="19"/>
        <v>6785.950051</v>
      </c>
      <c r="Y41" s="27">
        <f t="shared" si="20"/>
        <v>6397</v>
      </c>
      <c r="Z41" s="27">
        <f t="shared" si="21"/>
        <v>6397</v>
      </c>
      <c r="AA41" s="27">
        <f t="shared" si="22"/>
        <v>6309.392291</v>
      </c>
      <c r="AB41" s="27">
        <f t="shared" si="23"/>
        <v>6265.63191</v>
      </c>
      <c r="AC41" s="27">
        <f t="shared" si="24"/>
        <v>6221.90043</v>
      </c>
    </row>
    <row r="42">
      <c r="A42" s="24">
        <v>2.61160606E9</v>
      </c>
      <c r="B42" s="24" t="s">
        <v>79</v>
      </c>
      <c r="C42" s="63">
        <v>37660.0</v>
      </c>
      <c r="D42" s="24">
        <v>40870.0</v>
      </c>
      <c r="E42" s="24">
        <f t="shared" si="1"/>
        <v>-3210</v>
      </c>
      <c r="F42" s="81">
        <f t="shared" si="2"/>
        <v>-0.07854171764</v>
      </c>
      <c r="G42" s="82">
        <f t="shared" si="3"/>
        <v>0.02675596232</v>
      </c>
      <c r="H42" s="27">
        <f t="shared" si="4"/>
        <v>42480.62866</v>
      </c>
      <c r="I42" s="27">
        <f t="shared" si="5"/>
        <v>42498.5284</v>
      </c>
      <c r="J42" s="32">
        <f t="shared" si="6"/>
        <v>-0.002130056018</v>
      </c>
      <c r="K42" s="32">
        <f t="shared" si="7"/>
        <v>-0.006793301685</v>
      </c>
      <c r="L42" s="32">
        <f t="shared" si="8"/>
        <v>-277.6422399</v>
      </c>
      <c r="M42" s="27">
        <f t="shared" si="9"/>
        <v>40870</v>
      </c>
      <c r="N42" s="27">
        <f t="shared" si="25"/>
        <v>40782.94461</v>
      </c>
      <c r="O42" s="27">
        <f t="shared" si="10"/>
        <v>40696.07465</v>
      </c>
      <c r="P42" s="27">
        <f t="shared" si="11"/>
        <v>40609.38974</v>
      </c>
      <c r="Q42" s="27">
        <f t="shared" si="12"/>
        <v>40522.88946</v>
      </c>
      <c r="R42" s="27">
        <f t="shared" si="13"/>
        <v>40436.57344</v>
      </c>
      <c r="S42" s="27">
        <f t="shared" si="14"/>
        <v>40350.44127</v>
      </c>
      <c r="T42" s="27">
        <f t="shared" si="15"/>
        <v>40264.49257</v>
      </c>
      <c r="U42" s="27">
        <f t="shared" si="16"/>
        <v>40178.72694</v>
      </c>
      <c r="V42" s="27">
        <f t="shared" si="17"/>
        <v>40093.14401</v>
      </c>
      <c r="W42" s="27">
        <f t="shared" si="18"/>
        <v>40007.74336</v>
      </c>
      <c r="X42" s="27">
        <f t="shared" si="19"/>
        <v>39922.52463</v>
      </c>
      <c r="Y42" s="27">
        <f t="shared" si="20"/>
        <v>37660</v>
      </c>
      <c r="Z42" s="27">
        <f t="shared" si="21"/>
        <v>37660</v>
      </c>
      <c r="AA42" s="27">
        <f t="shared" si="22"/>
        <v>37148.49939</v>
      </c>
      <c r="AB42" s="27">
        <f t="shared" si="23"/>
        <v>36893.00502</v>
      </c>
      <c r="AC42" s="27">
        <f t="shared" si="24"/>
        <v>36637.68079</v>
      </c>
    </row>
    <row r="43">
      <c r="A43" s="24">
        <v>2.61160602E9</v>
      </c>
      <c r="B43" s="24" t="s">
        <v>80</v>
      </c>
      <c r="C43" s="24">
        <v>8757.0</v>
      </c>
      <c r="D43" s="24">
        <v>9484.0</v>
      </c>
      <c r="E43" s="24">
        <f t="shared" si="1"/>
        <v>-727</v>
      </c>
      <c r="F43" s="81">
        <f t="shared" si="2"/>
        <v>-0.07665541965</v>
      </c>
      <c r="G43" s="82">
        <f t="shared" si="3"/>
        <v>0.006208797324</v>
      </c>
      <c r="H43" s="27">
        <f t="shared" si="4"/>
        <v>9857.750972</v>
      </c>
      <c r="I43" s="27">
        <f t="shared" si="5"/>
        <v>9861.904658</v>
      </c>
      <c r="J43" s="32">
        <f t="shared" si="6"/>
        <v>-0.002130056018</v>
      </c>
      <c r="K43" s="32">
        <f t="shared" si="7"/>
        <v>-0.006624029389</v>
      </c>
      <c r="L43" s="32">
        <f t="shared" si="8"/>
        <v>-62.82229473</v>
      </c>
      <c r="M43" s="27">
        <f t="shared" si="9"/>
        <v>9484</v>
      </c>
      <c r="N43" s="27">
        <f t="shared" si="25"/>
        <v>9463.798549</v>
      </c>
      <c r="O43" s="27">
        <f t="shared" si="10"/>
        <v>9443.640128</v>
      </c>
      <c r="P43" s="27">
        <f t="shared" si="11"/>
        <v>9423.524645</v>
      </c>
      <c r="Q43" s="27">
        <f t="shared" si="12"/>
        <v>9403.45201</v>
      </c>
      <c r="R43" s="27">
        <f t="shared" si="13"/>
        <v>9383.42213</v>
      </c>
      <c r="S43" s="27">
        <f t="shared" si="14"/>
        <v>9363.434916</v>
      </c>
      <c r="T43" s="27">
        <f t="shared" si="15"/>
        <v>9343.490275</v>
      </c>
      <c r="U43" s="27">
        <f t="shared" si="16"/>
        <v>9323.588117</v>
      </c>
      <c r="V43" s="27">
        <f t="shared" si="17"/>
        <v>9303.728352</v>
      </c>
      <c r="W43" s="27">
        <f t="shared" si="18"/>
        <v>9283.910889</v>
      </c>
      <c r="X43" s="27">
        <f t="shared" si="19"/>
        <v>9264.135639</v>
      </c>
      <c r="Y43" s="27">
        <f t="shared" si="20"/>
        <v>8757</v>
      </c>
      <c r="Z43" s="27">
        <f t="shared" si="21"/>
        <v>8757</v>
      </c>
      <c r="AA43" s="27">
        <f t="shared" si="22"/>
        <v>8641.026481</v>
      </c>
      <c r="AB43" s="27">
        <f t="shared" si="23"/>
        <v>8583.099234</v>
      </c>
      <c r="AC43" s="27">
        <f t="shared" si="24"/>
        <v>8525.211551</v>
      </c>
    </row>
    <row r="44">
      <c r="A44" s="24">
        <v>2.611606087E9</v>
      </c>
      <c r="B44" s="24" t="s">
        <v>81</v>
      </c>
      <c r="C44" s="24">
        <v>62632.0</v>
      </c>
      <c r="D44" s="24">
        <v>67260.0</v>
      </c>
      <c r="E44" s="24">
        <f t="shared" si="1"/>
        <v>-4628</v>
      </c>
      <c r="F44" s="81">
        <f t="shared" si="2"/>
        <v>-0.06880761225</v>
      </c>
      <c r="G44" s="82">
        <f t="shared" si="3"/>
        <v>0.04403244496</v>
      </c>
      <c r="H44" s="27">
        <f t="shared" si="4"/>
        <v>69910.62109</v>
      </c>
      <c r="I44" s="27">
        <f t="shared" si="5"/>
        <v>69940.07879</v>
      </c>
      <c r="J44" s="32">
        <f t="shared" si="6"/>
        <v>-0.002130056018</v>
      </c>
      <c r="K44" s="32">
        <f t="shared" si="7"/>
        <v>-0.005923169843</v>
      </c>
      <c r="L44" s="32">
        <f t="shared" si="8"/>
        <v>-398.3924037</v>
      </c>
      <c r="M44" s="27">
        <f t="shared" si="9"/>
        <v>67260</v>
      </c>
      <c r="N44" s="27">
        <f t="shared" si="25"/>
        <v>67116.73243</v>
      </c>
      <c r="O44" s="27">
        <f t="shared" si="10"/>
        <v>66973.77003</v>
      </c>
      <c r="P44" s="27">
        <f t="shared" si="11"/>
        <v>66831.11215</v>
      </c>
      <c r="Q44" s="27">
        <f t="shared" si="12"/>
        <v>66688.75814</v>
      </c>
      <c r="R44" s="27">
        <f t="shared" si="13"/>
        <v>66546.70735</v>
      </c>
      <c r="S44" s="27">
        <f t="shared" si="14"/>
        <v>66404.95913</v>
      </c>
      <c r="T44" s="27">
        <f t="shared" si="15"/>
        <v>66263.51285</v>
      </c>
      <c r="U44" s="27">
        <f t="shared" si="16"/>
        <v>66122.36786</v>
      </c>
      <c r="V44" s="27">
        <f t="shared" si="17"/>
        <v>65981.52351</v>
      </c>
      <c r="W44" s="27">
        <f t="shared" si="18"/>
        <v>65840.97917</v>
      </c>
      <c r="X44" s="27">
        <f t="shared" si="19"/>
        <v>65700.73419</v>
      </c>
      <c r="Y44" s="27">
        <f t="shared" si="20"/>
        <v>62632</v>
      </c>
      <c r="Z44" s="27">
        <f t="shared" si="21"/>
        <v>62632</v>
      </c>
      <c r="AA44" s="27">
        <f t="shared" si="22"/>
        <v>61890.32422</v>
      </c>
      <c r="AB44" s="27">
        <f t="shared" si="23"/>
        <v>61519.91198</v>
      </c>
      <c r="AC44" s="27">
        <f t="shared" si="24"/>
        <v>61149.78271</v>
      </c>
    </row>
    <row r="45">
      <c r="A45" s="24">
        <v>2.611606046E9</v>
      </c>
      <c r="B45" s="24" t="s">
        <v>82</v>
      </c>
      <c r="C45" s="24">
        <v>7738.0</v>
      </c>
      <c r="D45" s="24">
        <v>8286.0</v>
      </c>
      <c r="E45" s="24">
        <f t="shared" si="1"/>
        <v>-548</v>
      </c>
      <c r="F45" s="81">
        <f t="shared" si="2"/>
        <v>-0.06613565049</v>
      </c>
      <c r="G45" s="82">
        <f t="shared" si="3"/>
        <v>0.005424514406</v>
      </c>
      <c r="H45" s="27">
        <f t="shared" si="4"/>
        <v>8612.539494</v>
      </c>
      <c r="I45" s="27">
        <f t="shared" si="5"/>
        <v>8616.168494</v>
      </c>
      <c r="J45" s="32">
        <f t="shared" si="6"/>
        <v>-0.002130056018</v>
      </c>
      <c r="K45" s="32">
        <f t="shared" si="7"/>
        <v>-0.005685781692</v>
      </c>
      <c r="L45" s="32">
        <f t="shared" si="8"/>
        <v>-47.1123871</v>
      </c>
      <c r="M45" s="27">
        <f t="shared" si="9"/>
        <v>8286</v>
      </c>
      <c r="N45" s="27">
        <f t="shared" si="25"/>
        <v>8268.350356</v>
      </c>
      <c r="O45" s="27">
        <f t="shared" si="10"/>
        <v>8250.738306</v>
      </c>
      <c r="P45" s="27">
        <f t="shared" si="11"/>
        <v>8233.163772</v>
      </c>
      <c r="Q45" s="27">
        <f t="shared" si="12"/>
        <v>8215.626672</v>
      </c>
      <c r="R45" s="27">
        <f t="shared" si="13"/>
        <v>8198.126927</v>
      </c>
      <c r="S45" s="27">
        <f t="shared" si="14"/>
        <v>8180.664457</v>
      </c>
      <c r="T45" s="27">
        <f t="shared" si="15"/>
        <v>8163.239183</v>
      </c>
      <c r="U45" s="27">
        <f t="shared" si="16"/>
        <v>8145.851027</v>
      </c>
      <c r="V45" s="27">
        <f t="shared" si="17"/>
        <v>8128.499908</v>
      </c>
      <c r="W45" s="27">
        <f t="shared" si="18"/>
        <v>8111.185748</v>
      </c>
      <c r="X45" s="27">
        <f t="shared" si="19"/>
        <v>8093.908468</v>
      </c>
      <c r="Y45" s="27">
        <f t="shared" si="20"/>
        <v>7738</v>
      </c>
      <c r="Z45" s="27">
        <f t="shared" si="21"/>
        <v>7738</v>
      </c>
      <c r="AA45" s="27">
        <f t="shared" si="22"/>
        <v>7650.041951</v>
      </c>
      <c r="AB45" s="27">
        <f t="shared" si="23"/>
        <v>7606.115514</v>
      </c>
      <c r="AC45" s="27">
        <f t="shared" si="24"/>
        <v>7562.224036</v>
      </c>
    </row>
    <row r="46">
      <c r="A46" s="24">
        <v>2.611606055E9</v>
      </c>
      <c r="B46" s="24" t="s">
        <v>83</v>
      </c>
      <c r="C46" s="24">
        <v>6307.0</v>
      </c>
      <c r="D46" s="24">
        <v>6722.0</v>
      </c>
      <c r="E46" s="24">
        <f t="shared" si="1"/>
        <v>-415</v>
      </c>
      <c r="F46" s="81">
        <f t="shared" si="2"/>
        <v>-0.0617375781</v>
      </c>
      <c r="G46" s="82">
        <f t="shared" si="3"/>
        <v>0.004400625855</v>
      </c>
      <c r="H46" s="27">
        <f t="shared" si="4"/>
        <v>6986.904475</v>
      </c>
      <c r="I46" s="27">
        <f t="shared" si="5"/>
        <v>6989.848493</v>
      </c>
      <c r="J46" s="32">
        <f t="shared" si="6"/>
        <v>-0.002130056018</v>
      </c>
      <c r="K46" s="32">
        <f t="shared" si="7"/>
        <v>-0.0052963912</v>
      </c>
      <c r="L46" s="32">
        <f t="shared" si="8"/>
        <v>-35.60234165</v>
      </c>
      <c r="M46" s="27">
        <f t="shared" si="9"/>
        <v>6722</v>
      </c>
      <c r="N46" s="27">
        <f t="shared" si="25"/>
        <v>6707.681763</v>
      </c>
      <c r="O46" s="27">
        <f t="shared" si="10"/>
        <v>6693.394026</v>
      </c>
      <c r="P46" s="27">
        <f t="shared" si="11"/>
        <v>6679.136721</v>
      </c>
      <c r="Q46" s="27">
        <f t="shared" si="12"/>
        <v>6664.909786</v>
      </c>
      <c r="R46" s="27">
        <f t="shared" si="13"/>
        <v>6650.713155</v>
      </c>
      <c r="S46" s="27">
        <f t="shared" si="14"/>
        <v>6636.546763</v>
      </c>
      <c r="T46" s="27">
        <f t="shared" si="15"/>
        <v>6622.410547</v>
      </c>
      <c r="U46" s="27">
        <f t="shared" si="16"/>
        <v>6608.304441</v>
      </c>
      <c r="V46" s="27">
        <f t="shared" si="17"/>
        <v>6594.228383</v>
      </c>
      <c r="W46" s="27">
        <f t="shared" si="18"/>
        <v>6580.182307</v>
      </c>
      <c r="X46" s="27">
        <f t="shared" si="19"/>
        <v>6566.16615</v>
      </c>
      <c r="Y46" s="27">
        <f t="shared" si="20"/>
        <v>6307</v>
      </c>
      <c r="Z46" s="27">
        <f t="shared" si="21"/>
        <v>6307</v>
      </c>
      <c r="AA46" s="27">
        <f t="shared" si="22"/>
        <v>6240.219937</v>
      </c>
      <c r="AB46" s="27">
        <f t="shared" si="23"/>
        <v>6206.872768</v>
      </c>
      <c r="AC46" s="27">
        <f t="shared" si="24"/>
        <v>6173.554094</v>
      </c>
    </row>
    <row r="47">
      <c r="A47" s="24">
        <v>2.611606085E9</v>
      </c>
      <c r="B47" s="24" t="s">
        <v>84</v>
      </c>
      <c r="C47" s="24">
        <v>29996.0</v>
      </c>
      <c r="D47" s="24">
        <v>31598.0</v>
      </c>
      <c r="E47" s="24">
        <f t="shared" si="1"/>
        <v>-1602</v>
      </c>
      <c r="F47" s="81">
        <f t="shared" si="2"/>
        <v>-0.05069941136</v>
      </c>
      <c r="G47" s="82">
        <f t="shared" si="3"/>
        <v>0.02068595296</v>
      </c>
      <c r="H47" s="27">
        <f t="shared" si="4"/>
        <v>32843.23231</v>
      </c>
      <c r="I47" s="27">
        <f t="shared" si="5"/>
        <v>32857.07121</v>
      </c>
      <c r="J47" s="32">
        <f t="shared" si="6"/>
        <v>-0.002130056018</v>
      </c>
      <c r="K47" s="32">
        <f t="shared" si="7"/>
        <v>-0.004326429589</v>
      </c>
      <c r="L47" s="32">
        <f t="shared" si="8"/>
        <v>-136.7065222</v>
      </c>
      <c r="M47" s="27">
        <f t="shared" si="9"/>
        <v>31598</v>
      </c>
      <c r="N47" s="27">
        <f t="shared" si="25"/>
        <v>31530.69449</v>
      </c>
      <c r="O47" s="27">
        <f t="shared" si="10"/>
        <v>31463.53234</v>
      </c>
      <c r="P47" s="27">
        <f t="shared" si="11"/>
        <v>31396.51326</v>
      </c>
      <c r="Q47" s="27">
        <f t="shared" si="12"/>
        <v>31329.63693</v>
      </c>
      <c r="R47" s="27">
        <f t="shared" si="13"/>
        <v>31262.90304</v>
      </c>
      <c r="S47" s="27">
        <f t="shared" si="14"/>
        <v>31196.31131</v>
      </c>
      <c r="T47" s="27">
        <f t="shared" si="15"/>
        <v>31129.86142</v>
      </c>
      <c r="U47" s="27">
        <f t="shared" si="16"/>
        <v>31063.55307</v>
      </c>
      <c r="V47" s="27">
        <f t="shared" si="17"/>
        <v>30997.38596</v>
      </c>
      <c r="W47" s="27">
        <f t="shared" si="18"/>
        <v>30931.35979</v>
      </c>
      <c r="X47" s="27">
        <f t="shared" si="19"/>
        <v>30865.47426</v>
      </c>
      <c r="Y47" s="27">
        <f t="shared" si="20"/>
        <v>29996</v>
      </c>
      <c r="Z47" s="27">
        <f t="shared" si="21"/>
        <v>29996</v>
      </c>
      <c r="AA47" s="27">
        <f t="shared" si="22"/>
        <v>29736.58493</v>
      </c>
      <c r="AB47" s="27">
        <f t="shared" si="23"/>
        <v>29607.08125</v>
      </c>
      <c r="AC47" s="27">
        <f t="shared" si="24"/>
        <v>29477.71309</v>
      </c>
    </row>
    <row r="48">
      <c r="A48" s="24">
        <v>2.611606018E9</v>
      </c>
      <c r="B48" s="24" t="s">
        <v>85</v>
      </c>
      <c r="C48" s="24">
        <v>13236.0</v>
      </c>
      <c r="D48" s="24">
        <v>13861.0</v>
      </c>
      <c r="E48" s="24">
        <f t="shared" si="1"/>
        <v>-625</v>
      </c>
      <c r="F48" s="81">
        <f t="shared" si="2"/>
        <v>-0.04509054181</v>
      </c>
      <c r="G48" s="82">
        <f t="shared" si="3"/>
        <v>0.009074245013</v>
      </c>
      <c r="H48" s="27">
        <f t="shared" si="4"/>
        <v>14407.24233</v>
      </c>
      <c r="I48" s="27">
        <f t="shared" si="5"/>
        <v>14413.313</v>
      </c>
      <c r="J48" s="32">
        <f t="shared" si="6"/>
        <v>-0.002130056018</v>
      </c>
      <c r="K48" s="32">
        <f t="shared" si="7"/>
        <v>-0.003837513783</v>
      </c>
      <c r="L48" s="32">
        <f t="shared" si="8"/>
        <v>-53.19177854</v>
      </c>
      <c r="M48" s="27">
        <f t="shared" si="9"/>
        <v>13861</v>
      </c>
      <c r="N48" s="27">
        <f t="shared" si="25"/>
        <v>13831.47529</v>
      </c>
      <c r="O48" s="27">
        <f t="shared" si="10"/>
        <v>13802.01348</v>
      </c>
      <c r="P48" s="27">
        <f t="shared" si="11"/>
        <v>13772.61441</v>
      </c>
      <c r="Q48" s="27">
        <f t="shared" si="12"/>
        <v>13743.27797</v>
      </c>
      <c r="R48" s="27">
        <f t="shared" si="13"/>
        <v>13714.00402</v>
      </c>
      <c r="S48" s="27">
        <f t="shared" si="14"/>
        <v>13684.79243</v>
      </c>
      <c r="T48" s="27">
        <f t="shared" si="15"/>
        <v>13655.64305</v>
      </c>
      <c r="U48" s="27">
        <f t="shared" si="16"/>
        <v>13626.55577</v>
      </c>
      <c r="V48" s="27">
        <f t="shared" si="17"/>
        <v>13597.53044</v>
      </c>
      <c r="W48" s="27">
        <f t="shared" si="18"/>
        <v>13568.56694</v>
      </c>
      <c r="X48" s="27">
        <f t="shared" si="19"/>
        <v>13539.66513</v>
      </c>
      <c r="Y48" s="27">
        <f t="shared" si="20"/>
        <v>13236</v>
      </c>
      <c r="Z48" s="27">
        <f t="shared" si="21"/>
        <v>13236</v>
      </c>
      <c r="AA48" s="27">
        <f t="shared" si="22"/>
        <v>13134.47339</v>
      </c>
      <c r="AB48" s="27">
        <f t="shared" si="23"/>
        <v>13083.80004</v>
      </c>
      <c r="AC48" s="27">
        <f t="shared" si="24"/>
        <v>13033.18648</v>
      </c>
    </row>
    <row r="49">
      <c r="A49" s="24">
        <v>2.611606029E9</v>
      </c>
      <c r="B49" s="24" t="s">
        <v>86</v>
      </c>
      <c r="C49" s="24">
        <v>14202.0</v>
      </c>
      <c r="D49" s="24">
        <v>14867.0</v>
      </c>
      <c r="E49" s="24">
        <f t="shared" si="1"/>
        <v>-665</v>
      </c>
      <c r="F49" s="81">
        <f t="shared" si="2"/>
        <v>-0.04472993879</v>
      </c>
      <c r="G49" s="82">
        <f t="shared" si="3"/>
        <v>0.009732833173</v>
      </c>
      <c r="H49" s="27">
        <f t="shared" si="4"/>
        <v>15452.88736</v>
      </c>
      <c r="I49" s="27">
        <f t="shared" si="5"/>
        <v>15459.39862</v>
      </c>
      <c r="J49" s="32">
        <f t="shared" si="6"/>
        <v>-0.002130056018</v>
      </c>
      <c r="K49" s="32">
        <f t="shared" si="7"/>
        <v>-0.003806170755</v>
      </c>
      <c r="L49" s="32">
        <f t="shared" si="8"/>
        <v>-56.58634062</v>
      </c>
      <c r="M49" s="27">
        <f t="shared" si="9"/>
        <v>14867</v>
      </c>
      <c r="N49" s="27">
        <f t="shared" si="25"/>
        <v>14835.33246</v>
      </c>
      <c r="O49" s="27">
        <f t="shared" si="10"/>
        <v>14803.73237</v>
      </c>
      <c r="P49" s="27">
        <f t="shared" si="11"/>
        <v>14772.19959</v>
      </c>
      <c r="Q49" s="27">
        <f t="shared" si="12"/>
        <v>14740.73398</v>
      </c>
      <c r="R49" s="27">
        <f t="shared" si="13"/>
        <v>14709.33539</v>
      </c>
      <c r="S49" s="27">
        <f t="shared" si="14"/>
        <v>14678.00368</v>
      </c>
      <c r="T49" s="27">
        <f t="shared" si="15"/>
        <v>14646.73871</v>
      </c>
      <c r="U49" s="27">
        <f t="shared" si="16"/>
        <v>14615.54033</v>
      </c>
      <c r="V49" s="27">
        <f t="shared" si="17"/>
        <v>14584.40842</v>
      </c>
      <c r="W49" s="27">
        <f t="shared" si="18"/>
        <v>14553.34281</v>
      </c>
      <c r="X49" s="27">
        <f t="shared" si="19"/>
        <v>14522.34337</v>
      </c>
      <c r="Y49" s="27">
        <f t="shared" si="20"/>
        <v>14202</v>
      </c>
      <c r="Z49" s="27">
        <f t="shared" si="21"/>
        <v>14202</v>
      </c>
      <c r="AA49" s="27">
        <f t="shared" si="22"/>
        <v>14093.95396</v>
      </c>
      <c r="AB49" s="27">
        <f t="shared" si="23"/>
        <v>14040.02746</v>
      </c>
      <c r="AC49" s="27">
        <f t="shared" si="24"/>
        <v>13986.16512</v>
      </c>
    </row>
    <row r="50">
      <c r="A50" s="24">
        <v>2.611606028E9</v>
      </c>
      <c r="B50" s="24" t="s">
        <v>87</v>
      </c>
      <c r="C50" s="24">
        <v>31437.0</v>
      </c>
      <c r="D50" s="24">
        <v>32869.0</v>
      </c>
      <c r="E50" s="24">
        <f t="shared" si="1"/>
        <v>-1432</v>
      </c>
      <c r="F50" s="81">
        <f t="shared" si="2"/>
        <v>-0.04356688673</v>
      </c>
      <c r="G50" s="82">
        <f t="shared" si="3"/>
        <v>0.02151802607</v>
      </c>
      <c r="H50" s="27">
        <f t="shared" si="4"/>
        <v>34164.32062</v>
      </c>
      <c r="I50" s="27">
        <f t="shared" si="5"/>
        <v>34178.71617</v>
      </c>
      <c r="J50" s="32">
        <f t="shared" si="6"/>
        <v>-0.002130056018</v>
      </c>
      <c r="K50" s="32">
        <f t="shared" si="7"/>
        <v>-0.003705154012</v>
      </c>
      <c r="L50" s="32">
        <f t="shared" si="8"/>
        <v>-121.7847072</v>
      </c>
      <c r="M50" s="27">
        <f t="shared" si="9"/>
        <v>32869</v>
      </c>
      <c r="N50" s="27">
        <f t="shared" si="25"/>
        <v>32798.98719</v>
      </c>
      <c r="O50" s="27">
        <f t="shared" si="10"/>
        <v>32729.12351</v>
      </c>
      <c r="P50" s="27">
        <f t="shared" si="11"/>
        <v>32659.40864</v>
      </c>
      <c r="Q50" s="27">
        <f t="shared" si="12"/>
        <v>32589.84227</v>
      </c>
      <c r="R50" s="27">
        <f t="shared" si="13"/>
        <v>32520.42408</v>
      </c>
      <c r="S50" s="27">
        <f t="shared" si="14"/>
        <v>32451.15376</v>
      </c>
      <c r="T50" s="27">
        <f t="shared" si="15"/>
        <v>32382.03098</v>
      </c>
      <c r="U50" s="27">
        <f t="shared" si="16"/>
        <v>32313.05544</v>
      </c>
      <c r="V50" s="27">
        <f t="shared" si="17"/>
        <v>32244.22682</v>
      </c>
      <c r="W50" s="27">
        <f t="shared" si="18"/>
        <v>32175.54481</v>
      </c>
      <c r="X50" s="27">
        <f t="shared" si="19"/>
        <v>32107.0091</v>
      </c>
      <c r="Y50" s="27">
        <f t="shared" si="20"/>
        <v>31437</v>
      </c>
      <c r="Z50" s="27">
        <f t="shared" si="21"/>
        <v>31437</v>
      </c>
      <c r="AA50" s="27">
        <f t="shared" si="22"/>
        <v>31204.18478</v>
      </c>
      <c r="AB50" s="27">
        <f t="shared" si="23"/>
        <v>31087.99082</v>
      </c>
      <c r="AC50" s="27">
        <f t="shared" si="24"/>
        <v>30971.93888</v>
      </c>
    </row>
    <row r="51">
      <c r="A51" s="24">
        <v>2.611606034E9</v>
      </c>
      <c r="B51" s="24" t="s">
        <v>88</v>
      </c>
      <c r="C51" s="24">
        <v>7793.0</v>
      </c>
      <c r="D51" s="24">
        <v>8120.0</v>
      </c>
      <c r="E51" s="24">
        <f t="shared" si="1"/>
        <v>-327</v>
      </c>
      <c r="F51" s="81">
        <f t="shared" si="2"/>
        <v>-0.04027093596</v>
      </c>
      <c r="G51" s="82">
        <f t="shared" si="3"/>
        <v>0.005315840813</v>
      </c>
      <c r="H51" s="27">
        <f t="shared" si="4"/>
        <v>8439.997669</v>
      </c>
      <c r="I51" s="27">
        <f t="shared" si="5"/>
        <v>8443.553967</v>
      </c>
      <c r="J51" s="32">
        <f t="shared" si="6"/>
        <v>-0.002130056018</v>
      </c>
      <c r="K51" s="32">
        <f t="shared" si="7"/>
        <v>-0.003419495107</v>
      </c>
      <c r="L51" s="32">
        <f t="shared" si="8"/>
        <v>-27.76630027</v>
      </c>
      <c r="M51" s="27">
        <f t="shared" si="9"/>
        <v>8120</v>
      </c>
      <c r="N51" s="27">
        <f t="shared" si="25"/>
        <v>8102.703945</v>
      </c>
      <c r="O51" s="27">
        <f t="shared" si="10"/>
        <v>8085.444732</v>
      </c>
      <c r="P51" s="27">
        <f t="shared" si="11"/>
        <v>8068.222282</v>
      </c>
      <c r="Q51" s="27">
        <f t="shared" si="12"/>
        <v>8051.036516</v>
      </c>
      <c r="R51" s="27">
        <f t="shared" si="13"/>
        <v>8033.887357</v>
      </c>
      <c r="S51" s="27">
        <f t="shared" si="14"/>
        <v>8016.774727</v>
      </c>
      <c r="T51" s="27">
        <f t="shared" si="15"/>
        <v>7999.698548</v>
      </c>
      <c r="U51" s="27">
        <f t="shared" si="16"/>
        <v>7982.658742</v>
      </c>
      <c r="V51" s="27">
        <f t="shared" si="17"/>
        <v>7965.655232</v>
      </c>
      <c r="W51" s="27">
        <f t="shared" si="18"/>
        <v>7948.68794</v>
      </c>
      <c r="X51" s="27">
        <f t="shared" si="19"/>
        <v>7931.756789</v>
      </c>
      <c r="Y51" s="27">
        <f t="shared" si="20"/>
        <v>7793</v>
      </c>
      <c r="Z51" s="27">
        <f t="shared" si="21"/>
        <v>7793</v>
      </c>
      <c r="AA51" s="27">
        <f t="shared" si="22"/>
        <v>7739.739107</v>
      </c>
      <c r="AB51" s="27">
        <f t="shared" si="23"/>
        <v>7713.161622</v>
      </c>
      <c r="AC51" s="27">
        <f t="shared" si="24"/>
        <v>7686.619345</v>
      </c>
    </row>
    <row r="52">
      <c r="A52" s="24">
        <v>2.611606086E9</v>
      </c>
      <c r="B52" s="24" t="s">
        <v>89</v>
      </c>
      <c r="C52" s="24">
        <v>30565.0</v>
      </c>
      <c r="D52" s="24">
        <v>31773.0</v>
      </c>
      <c r="E52" s="24">
        <f t="shared" si="1"/>
        <v>-1208</v>
      </c>
      <c r="F52" s="81">
        <f t="shared" si="2"/>
        <v>-0.03801970226</v>
      </c>
      <c r="G52" s="82">
        <f t="shared" si="3"/>
        <v>0.02080051849</v>
      </c>
      <c r="H52" s="27">
        <f t="shared" si="4"/>
        <v>33025.12881</v>
      </c>
      <c r="I52" s="27">
        <f t="shared" si="5"/>
        <v>33039.04436</v>
      </c>
      <c r="J52" s="32">
        <f t="shared" si="6"/>
        <v>-0.002130056018</v>
      </c>
      <c r="K52" s="32">
        <f t="shared" si="7"/>
        <v>-0.003224897897</v>
      </c>
      <c r="L52" s="32">
        <f t="shared" si="8"/>
        <v>-102.4646809</v>
      </c>
      <c r="M52" s="27">
        <f t="shared" si="9"/>
        <v>31773</v>
      </c>
      <c r="N52" s="27">
        <f t="shared" si="25"/>
        <v>31705.32173</v>
      </c>
      <c r="O52" s="27">
        <f t="shared" si="10"/>
        <v>31637.78762</v>
      </c>
      <c r="P52" s="27">
        <f t="shared" si="11"/>
        <v>31570.39736</v>
      </c>
      <c r="Q52" s="27">
        <f t="shared" si="12"/>
        <v>31503.15064</v>
      </c>
      <c r="R52" s="27">
        <f t="shared" si="13"/>
        <v>31436.04717</v>
      </c>
      <c r="S52" s="27">
        <f t="shared" si="14"/>
        <v>31369.08663</v>
      </c>
      <c r="T52" s="27">
        <f t="shared" si="15"/>
        <v>31302.26872</v>
      </c>
      <c r="U52" s="27">
        <f t="shared" si="16"/>
        <v>31235.59313</v>
      </c>
      <c r="V52" s="27">
        <f t="shared" si="17"/>
        <v>31169.05957</v>
      </c>
      <c r="W52" s="27">
        <f t="shared" si="18"/>
        <v>31102.66772</v>
      </c>
      <c r="X52" s="27">
        <f t="shared" si="19"/>
        <v>31036.4173</v>
      </c>
      <c r="Y52" s="27">
        <f t="shared" si="20"/>
        <v>30565</v>
      </c>
      <c r="Z52" s="27">
        <f t="shared" si="21"/>
        <v>30565</v>
      </c>
      <c r="AA52" s="27">
        <f t="shared" si="22"/>
        <v>30368.00067</v>
      </c>
      <c r="AB52" s="27">
        <f t="shared" si="23"/>
        <v>30269.70872</v>
      </c>
      <c r="AC52" s="27">
        <f t="shared" si="24"/>
        <v>30171.55487</v>
      </c>
    </row>
    <row r="53">
      <c r="A53" s="24">
        <v>2.611606013E9</v>
      </c>
      <c r="B53" s="24" t="s">
        <v>90</v>
      </c>
      <c r="C53" s="24">
        <v>19694.0</v>
      </c>
      <c r="D53" s="24">
        <v>20462.0</v>
      </c>
      <c r="E53" s="24">
        <f t="shared" si="1"/>
        <v>-768</v>
      </c>
      <c r="F53" s="81">
        <f t="shared" si="2"/>
        <v>-0.03753298798</v>
      </c>
      <c r="G53" s="82">
        <f t="shared" si="3"/>
        <v>0.01339565698</v>
      </c>
      <c r="H53" s="27">
        <f t="shared" si="4"/>
        <v>21268.37836</v>
      </c>
      <c r="I53" s="27">
        <f t="shared" si="5"/>
        <v>21277.34006</v>
      </c>
      <c r="J53" s="32">
        <f t="shared" si="6"/>
        <v>-0.002130056018</v>
      </c>
      <c r="K53" s="32">
        <f t="shared" si="7"/>
        <v>-0.003182881079</v>
      </c>
      <c r="L53" s="32">
        <f t="shared" si="8"/>
        <v>-65.12811264</v>
      </c>
      <c r="M53" s="27">
        <f t="shared" si="9"/>
        <v>20462</v>
      </c>
      <c r="N53" s="27">
        <f t="shared" si="25"/>
        <v>20418.41479</v>
      </c>
      <c r="O53" s="27">
        <f t="shared" si="10"/>
        <v>20374.92243</v>
      </c>
      <c r="P53" s="27">
        <f t="shared" si="11"/>
        <v>20331.5227</v>
      </c>
      <c r="Q53" s="27">
        <f t="shared" si="12"/>
        <v>20288.21542</v>
      </c>
      <c r="R53" s="27">
        <f t="shared" si="13"/>
        <v>20245.00038</v>
      </c>
      <c r="S53" s="27">
        <f t="shared" si="14"/>
        <v>20201.8774</v>
      </c>
      <c r="T53" s="27">
        <f t="shared" si="15"/>
        <v>20158.84627</v>
      </c>
      <c r="U53" s="27">
        <f t="shared" si="16"/>
        <v>20115.9068</v>
      </c>
      <c r="V53" s="27">
        <f t="shared" si="17"/>
        <v>20073.05879</v>
      </c>
      <c r="W53" s="27">
        <f t="shared" si="18"/>
        <v>20030.30205</v>
      </c>
      <c r="X53" s="27">
        <f t="shared" si="19"/>
        <v>19987.63638</v>
      </c>
      <c r="Y53" s="27">
        <f t="shared" si="20"/>
        <v>19694</v>
      </c>
      <c r="Z53" s="27">
        <f t="shared" si="21"/>
        <v>19694</v>
      </c>
      <c r="AA53" s="27">
        <f t="shared" si="22"/>
        <v>19568.72203</v>
      </c>
      <c r="AB53" s="27">
        <f t="shared" si="23"/>
        <v>19506.21689</v>
      </c>
      <c r="AC53" s="27">
        <f t="shared" si="24"/>
        <v>19443.80073</v>
      </c>
    </row>
    <row r="54">
      <c r="A54" s="24">
        <v>2.611606071E9</v>
      </c>
      <c r="B54" s="24" t="s">
        <v>91</v>
      </c>
      <c r="C54" s="63">
        <v>49944.0</v>
      </c>
      <c r="D54" s="24">
        <v>51862.0</v>
      </c>
      <c r="E54" s="24">
        <f t="shared" si="1"/>
        <v>-1918</v>
      </c>
      <c r="F54" s="81">
        <f t="shared" si="2"/>
        <v>-0.03698276195</v>
      </c>
      <c r="G54" s="82">
        <f t="shared" si="3"/>
        <v>0.03395198722</v>
      </c>
      <c r="H54" s="27">
        <f t="shared" si="4"/>
        <v>53905.80777</v>
      </c>
      <c r="I54" s="27">
        <f t="shared" si="5"/>
        <v>53928.52165</v>
      </c>
      <c r="J54" s="32">
        <f t="shared" si="6"/>
        <v>-0.002130056018</v>
      </c>
      <c r="K54" s="32">
        <f t="shared" si="7"/>
        <v>-0.003135404901</v>
      </c>
      <c r="L54" s="32">
        <f t="shared" si="8"/>
        <v>-162.608369</v>
      </c>
      <c r="M54" s="27">
        <f t="shared" si="9"/>
        <v>51862</v>
      </c>
      <c r="N54" s="27">
        <f t="shared" si="25"/>
        <v>51751.53103</v>
      </c>
      <c r="O54" s="27">
        <f t="shared" si="10"/>
        <v>51641.29737</v>
      </c>
      <c r="P54" s="27">
        <f t="shared" si="11"/>
        <v>51531.29852</v>
      </c>
      <c r="Q54" s="27">
        <f t="shared" si="12"/>
        <v>51421.53397</v>
      </c>
      <c r="R54" s="27">
        <f t="shared" si="13"/>
        <v>51312.00322</v>
      </c>
      <c r="S54" s="27">
        <f t="shared" si="14"/>
        <v>51202.70578</v>
      </c>
      <c r="T54" s="27">
        <f t="shared" si="15"/>
        <v>51093.64115</v>
      </c>
      <c r="U54" s="27">
        <f t="shared" si="16"/>
        <v>50984.80883</v>
      </c>
      <c r="V54" s="27">
        <f t="shared" si="17"/>
        <v>50876.20833</v>
      </c>
      <c r="W54" s="27">
        <f t="shared" si="18"/>
        <v>50767.83916</v>
      </c>
      <c r="X54" s="27">
        <f t="shared" si="19"/>
        <v>50659.70081</v>
      </c>
      <c r="Y54" s="27">
        <f t="shared" si="20"/>
        <v>49944</v>
      </c>
      <c r="Z54" s="27">
        <f t="shared" si="21"/>
        <v>49944</v>
      </c>
      <c r="AA54" s="27">
        <f t="shared" si="22"/>
        <v>49631.03728</v>
      </c>
      <c r="AB54" s="27">
        <f t="shared" si="23"/>
        <v>49474.89534</v>
      </c>
      <c r="AC54" s="27">
        <f t="shared" si="24"/>
        <v>49318.97904</v>
      </c>
    </row>
    <row r="55">
      <c r="A55" s="24">
        <v>2.611606073E9</v>
      </c>
      <c r="B55" s="24" t="s">
        <v>92</v>
      </c>
      <c r="C55" s="24">
        <v>9849.0</v>
      </c>
      <c r="D55" s="24">
        <v>10203.0</v>
      </c>
      <c r="E55" s="24">
        <f t="shared" si="1"/>
        <v>-354</v>
      </c>
      <c r="F55" s="81">
        <f t="shared" si="2"/>
        <v>-0.03469567774</v>
      </c>
      <c r="G55" s="82">
        <f t="shared" si="3"/>
        <v>0.006679498007</v>
      </c>
      <c r="H55" s="27">
        <f t="shared" si="4"/>
        <v>10605.08574</v>
      </c>
      <c r="I55" s="27">
        <f t="shared" si="5"/>
        <v>10609.55433</v>
      </c>
      <c r="J55" s="32">
        <f t="shared" si="6"/>
        <v>-0.002130056018</v>
      </c>
      <c r="K55" s="32">
        <f t="shared" si="7"/>
        <v>-0.002938330258</v>
      </c>
      <c r="L55" s="32">
        <f t="shared" si="8"/>
        <v>-29.97978362</v>
      </c>
      <c r="M55" s="27">
        <f t="shared" si="9"/>
        <v>10203</v>
      </c>
      <c r="N55" s="27">
        <f t="shared" si="25"/>
        <v>10181.26704</v>
      </c>
      <c r="O55" s="27">
        <f t="shared" si="10"/>
        <v>10159.58037</v>
      </c>
      <c r="P55" s="27">
        <f t="shared" si="11"/>
        <v>10137.93989</v>
      </c>
      <c r="Q55" s="27">
        <f t="shared" si="12"/>
        <v>10116.34551</v>
      </c>
      <c r="R55" s="27">
        <f t="shared" si="13"/>
        <v>10094.79713</v>
      </c>
      <c r="S55" s="27">
        <f t="shared" si="14"/>
        <v>10073.29465</v>
      </c>
      <c r="T55" s="27">
        <f t="shared" si="15"/>
        <v>10051.83797</v>
      </c>
      <c r="U55" s="27">
        <f t="shared" si="16"/>
        <v>10030.42699</v>
      </c>
      <c r="V55" s="27">
        <f t="shared" si="17"/>
        <v>10009.06162</v>
      </c>
      <c r="W55" s="27">
        <f t="shared" si="18"/>
        <v>9987.741755</v>
      </c>
      <c r="X55" s="27">
        <f t="shared" si="19"/>
        <v>9966.467306</v>
      </c>
      <c r="Y55" s="27">
        <f t="shared" si="20"/>
        <v>9849</v>
      </c>
      <c r="Z55" s="27">
        <f t="shared" si="21"/>
        <v>9849</v>
      </c>
      <c r="AA55" s="27">
        <f t="shared" si="22"/>
        <v>9791.165457</v>
      </c>
      <c r="AB55" s="27">
        <f t="shared" si="23"/>
        <v>9762.31512</v>
      </c>
      <c r="AC55" s="27">
        <f t="shared" si="24"/>
        <v>9733.509278</v>
      </c>
    </row>
    <row r="56">
      <c r="A56" s="24">
        <v>2.611606009E9</v>
      </c>
      <c r="B56" s="24" t="s">
        <v>93</v>
      </c>
      <c r="C56" s="24">
        <v>12257.0</v>
      </c>
      <c r="D56" s="24">
        <v>12622.0</v>
      </c>
      <c r="E56" s="24">
        <f t="shared" si="1"/>
        <v>-365</v>
      </c>
      <c r="F56" s="81">
        <f t="shared" si="2"/>
        <v>-0.02891776264</v>
      </c>
      <c r="G56" s="82">
        <f t="shared" si="3"/>
        <v>0.008263121027</v>
      </c>
      <c r="H56" s="27">
        <f t="shared" si="4"/>
        <v>13119.4151</v>
      </c>
      <c r="I56" s="27">
        <f t="shared" si="5"/>
        <v>13124.94312</v>
      </c>
      <c r="J56" s="32">
        <f t="shared" si="6"/>
        <v>-0.002130056018</v>
      </c>
      <c r="K56" s="32">
        <f t="shared" si="7"/>
        <v>-0.002442355984</v>
      </c>
      <c r="L56" s="32">
        <f t="shared" si="8"/>
        <v>-30.82741723</v>
      </c>
      <c r="M56" s="27">
        <f t="shared" si="9"/>
        <v>12622</v>
      </c>
      <c r="N56" s="27">
        <f t="shared" si="25"/>
        <v>12595.11443</v>
      </c>
      <c r="O56" s="27">
        <f t="shared" si="10"/>
        <v>12568.28613</v>
      </c>
      <c r="P56" s="27">
        <f t="shared" si="11"/>
        <v>12541.51498</v>
      </c>
      <c r="Q56" s="27">
        <f t="shared" si="12"/>
        <v>12514.80085</v>
      </c>
      <c r="R56" s="27">
        <f t="shared" si="13"/>
        <v>12488.14362</v>
      </c>
      <c r="S56" s="27">
        <f t="shared" si="14"/>
        <v>12461.54318</v>
      </c>
      <c r="T56" s="27">
        <f t="shared" si="15"/>
        <v>12434.99939</v>
      </c>
      <c r="U56" s="27">
        <f t="shared" si="16"/>
        <v>12408.51215</v>
      </c>
      <c r="V56" s="27">
        <f t="shared" si="17"/>
        <v>12382.08132</v>
      </c>
      <c r="W56" s="27">
        <f t="shared" si="18"/>
        <v>12355.7068</v>
      </c>
      <c r="X56" s="27">
        <f t="shared" si="19"/>
        <v>12329.38845</v>
      </c>
      <c r="Y56" s="27">
        <f t="shared" si="20"/>
        <v>12257</v>
      </c>
      <c r="Z56" s="27">
        <f t="shared" si="21"/>
        <v>12257</v>
      </c>
      <c r="AA56" s="27">
        <f t="shared" si="22"/>
        <v>12197.1837</v>
      </c>
      <c r="AB56" s="27">
        <f t="shared" si="23"/>
        <v>12167.35884</v>
      </c>
      <c r="AC56" s="27">
        <f t="shared" si="24"/>
        <v>12137.58937</v>
      </c>
    </row>
    <row r="57">
      <c r="A57" s="24">
        <v>2.611606072E9</v>
      </c>
      <c r="B57" s="24" t="s">
        <v>94</v>
      </c>
      <c r="C57" s="24">
        <v>31130.0</v>
      </c>
      <c r="D57" s="24">
        <v>31991.0</v>
      </c>
      <c r="E57" s="24">
        <f t="shared" si="1"/>
        <v>-861</v>
      </c>
      <c r="F57" s="81">
        <f t="shared" si="2"/>
        <v>-0.02691381951</v>
      </c>
      <c r="G57" s="82">
        <f t="shared" si="3"/>
        <v>0.02094323441</v>
      </c>
      <c r="H57" s="27">
        <f t="shared" si="4"/>
        <v>33251.71988</v>
      </c>
      <c r="I57" s="27">
        <f t="shared" si="5"/>
        <v>33265.73091</v>
      </c>
      <c r="J57" s="32">
        <f t="shared" si="6"/>
        <v>-0.002130056018</v>
      </c>
      <c r="K57" s="32">
        <f t="shared" si="7"/>
        <v>-0.002270969836</v>
      </c>
      <c r="L57" s="32">
        <f t="shared" si="8"/>
        <v>-72.65059603</v>
      </c>
      <c r="M57" s="27">
        <f t="shared" si="9"/>
        <v>31991</v>
      </c>
      <c r="N57" s="27">
        <f t="shared" si="25"/>
        <v>31922.85738</v>
      </c>
      <c r="O57" s="27">
        <f t="shared" si="10"/>
        <v>31854.8599</v>
      </c>
      <c r="P57" s="27">
        <f t="shared" si="11"/>
        <v>31787.00727</v>
      </c>
      <c r="Q57" s="27">
        <f t="shared" si="12"/>
        <v>31719.29916</v>
      </c>
      <c r="R57" s="27">
        <f t="shared" si="13"/>
        <v>31651.73528</v>
      </c>
      <c r="S57" s="27">
        <f t="shared" si="14"/>
        <v>31584.31531</v>
      </c>
      <c r="T57" s="27">
        <f t="shared" si="15"/>
        <v>31517.03895</v>
      </c>
      <c r="U57" s="27">
        <f t="shared" si="16"/>
        <v>31449.90589</v>
      </c>
      <c r="V57" s="27">
        <f t="shared" si="17"/>
        <v>31382.91583</v>
      </c>
      <c r="W57" s="27">
        <f t="shared" si="18"/>
        <v>31316.06846</v>
      </c>
      <c r="X57" s="27">
        <f t="shared" si="19"/>
        <v>31249.36348</v>
      </c>
      <c r="Y57" s="27">
        <f t="shared" si="20"/>
        <v>31130</v>
      </c>
      <c r="Z57" s="27">
        <f t="shared" si="21"/>
        <v>31130</v>
      </c>
      <c r="AA57" s="27">
        <f t="shared" si="22"/>
        <v>30988.75066</v>
      </c>
      <c r="AB57" s="27">
        <f t="shared" si="23"/>
        <v>30918.33755</v>
      </c>
      <c r="AC57" s="27">
        <f t="shared" si="24"/>
        <v>30848.06508</v>
      </c>
    </row>
    <row r="58">
      <c r="A58" s="24">
        <v>2.611606002E9</v>
      </c>
      <c r="B58" s="24" t="s">
        <v>95</v>
      </c>
      <c r="C58" s="24">
        <v>27103.0</v>
      </c>
      <c r="D58" s="24">
        <v>27814.0</v>
      </c>
      <c r="E58" s="24">
        <f t="shared" si="1"/>
        <v>-711</v>
      </c>
      <c r="F58" s="81">
        <f t="shared" si="2"/>
        <v>-0.02556266628</v>
      </c>
      <c r="G58" s="82">
        <f t="shared" si="3"/>
        <v>0.01820871876</v>
      </c>
      <c r="H58" s="27">
        <f t="shared" si="4"/>
        <v>28910.11024</v>
      </c>
      <c r="I58" s="27">
        <f t="shared" si="5"/>
        <v>28922.29188</v>
      </c>
      <c r="J58" s="32">
        <f t="shared" si="6"/>
        <v>-0.002130056018</v>
      </c>
      <c r="K58" s="32">
        <f t="shared" si="7"/>
        <v>-0.002155595709</v>
      </c>
      <c r="L58" s="32">
        <f t="shared" si="8"/>
        <v>-59.95573904</v>
      </c>
      <c r="M58" s="27">
        <f t="shared" si="9"/>
        <v>27814</v>
      </c>
      <c r="N58" s="27">
        <f t="shared" si="25"/>
        <v>27754.75462</v>
      </c>
      <c r="O58" s="27">
        <f t="shared" si="10"/>
        <v>27695.63544</v>
      </c>
      <c r="P58" s="27">
        <f t="shared" si="11"/>
        <v>27636.64218</v>
      </c>
      <c r="Q58" s="27">
        <f t="shared" si="12"/>
        <v>27577.77459</v>
      </c>
      <c r="R58" s="27">
        <f t="shared" si="13"/>
        <v>27519.03238</v>
      </c>
      <c r="S58" s="27">
        <f t="shared" si="14"/>
        <v>27460.4153</v>
      </c>
      <c r="T58" s="27">
        <f t="shared" si="15"/>
        <v>27401.92308</v>
      </c>
      <c r="U58" s="27">
        <f t="shared" si="16"/>
        <v>27343.55545</v>
      </c>
      <c r="V58" s="27">
        <f t="shared" si="17"/>
        <v>27285.31214</v>
      </c>
      <c r="W58" s="27">
        <f t="shared" si="18"/>
        <v>27227.1929</v>
      </c>
      <c r="X58" s="27">
        <f t="shared" si="19"/>
        <v>27169.19746</v>
      </c>
      <c r="Y58" s="27">
        <f t="shared" si="20"/>
        <v>27103</v>
      </c>
      <c r="Z58" s="27">
        <f t="shared" si="21"/>
        <v>27103</v>
      </c>
      <c r="AA58" s="27">
        <f t="shared" si="22"/>
        <v>26986.27675</v>
      </c>
      <c r="AB58" s="27">
        <f t="shared" si="23"/>
        <v>26928.09932</v>
      </c>
      <c r="AC58" s="27">
        <f t="shared" si="24"/>
        <v>26870.04433</v>
      </c>
    </row>
    <row r="59">
      <c r="A59" s="24">
        <v>2.611606063E9</v>
      </c>
      <c r="B59" s="24" t="s">
        <v>96</v>
      </c>
      <c r="C59" s="24">
        <v>11412.0</v>
      </c>
      <c r="D59" s="24">
        <v>11680.0</v>
      </c>
      <c r="E59" s="24">
        <f t="shared" si="1"/>
        <v>-268</v>
      </c>
      <c r="F59" s="81">
        <f t="shared" si="2"/>
        <v>-0.02294520548</v>
      </c>
      <c r="G59" s="82">
        <f t="shared" si="3"/>
        <v>0.00764643112</v>
      </c>
      <c r="H59" s="27">
        <f t="shared" si="4"/>
        <v>12140.29221</v>
      </c>
      <c r="I59" s="27">
        <f t="shared" si="5"/>
        <v>12145.40768</v>
      </c>
      <c r="J59" s="32">
        <f t="shared" si="6"/>
        <v>-0.002130056018</v>
      </c>
      <c r="K59" s="32">
        <f t="shared" si="7"/>
        <v>-0.001932508966</v>
      </c>
      <c r="L59" s="32">
        <f t="shared" si="8"/>
        <v>-22.57170472</v>
      </c>
      <c r="M59" s="27">
        <f t="shared" si="9"/>
        <v>11680</v>
      </c>
      <c r="N59" s="27">
        <f t="shared" si="25"/>
        <v>11655.12095</v>
      </c>
      <c r="O59" s="27">
        <f t="shared" si="10"/>
        <v>11630.29489</v>
      </c>
      <c r="P59" s="27">
        <f t="shared" si="11"/>
        <v>11605.52171</v>
      </c>
      <c r="Q59" s="27">
        <f t="shared" si="12"/>
        <v>11580.80129</v>
      </c>
      <c r="R59" s="27">
        <f t="shared" si="13"/>
        <v>11556.13354</v>
      </c>
      <c r="S59" s="27">
        <f t="shared" si="14"/>
        <v>11531.51833</v>
      </c>
      <c r="T59" s="27">
        <f t="shared" si="15"/>
        <v>11506.95555</v>
      </c>
      <c r="U59" s="27">
        <f t="shared" si="16"/>
        <v>11482.44509</v>
      </c>
      <c r="V59" s="27">
        <f t="shared" si="17"/>
        <v>11457.98684</v>
      </c>
      <c r="W59" s="27">
        <f t="shared" si="18"/>
        <v>11433.58068</v>
      </c>
      <c r="X59" s="27">
        <f t="shared" si="19"/>
        <v>11409.22651</v>
      </c>
      <c r="Y59" s="27">
        <f t="shared" si="20"/>
        <v>11412</v>
      </c>
      <c r="Z59" s="27">
        <f t="shared" si="21"/>
        <v>11412</v>
      </c>
      <c r="AA59" s="27">
        <f t="shared" si="22"/>
        <v>11367.94419</v>
      </c>
      <c r="AB59" s="27">
        <f t="shared" si="23"/>
        <v>11345.99385</v>
      </c>
      <c r="AC59" s="27">
        <f t="shared" si="24"/>
        <v>11324.09506</v>
      </c>
    </row>
    <row r="60">
      <c r="A60" s="24">
        <v>2.611606088E9</v>
      </c>
      <c r="B60" s="24" t="s">
        <v>97</v>
      </c>
      <c r="C60" s="24">
        <v>20449.0</v>
      </c>
      <c r="D60" s="24">
        <v>20768.0</v>
      </c>
      <c r="E60" s="24">
        <f t="shared" si="1"/>
        <v>-319</v>
      </c>
      <c r="F60" s="81">
        <f t="shared" si="2"/>
        <v>-0.01536016949</v>
      </c>
      <c r="G60" s="82">
        <f t="shared" si="3"/>
        <v>0.01359598301</v>
      </c>
      <c r="H60" s="27">
        <f t="shared" si="4"/>
        <v>21586.43739</v>
      </c>
      <c r="I60" s="27">
        <f t="shared" si="5"/>
        <v>21595.5331</v>
      </c>
      <c r="J60" s="32">
        <f t="shared" si="6"/>
        <v>-0.002130056018</v>
      </c>
      <c r="K60" s="32">
        <f t="shared" si="7"/>
        <v>-0.001289114959</v>
      </c>
      <c r="L60" s="32">
        <f t="shared" si="8"/>
        <v>-26.77233946</v>
      </c>
      <c r="M60" s="27">
        <f t="shared" si="9"/>
        <v>20768</v>
      </c>
      <c r="N60" s="27">
        <f t="shared" si="25"/>
        <v>20723.763</v>
      </c>
      <c r="O60" s="27">
        <f t="shared" si="10"/>
        <v>20679.62022</v>
      </c>
      <c r="P60" s="27">
        <f t="shared" si="11"/>
        <v>20635.57147</v>
      </c>
      <c r="Q60" s="27">
        <f t="shared" si="12"/>
        <v>20591.61655</v>
      </c>
      <c r="R60" s="27">
        <f t="shared" si="13"/>
        <v>20547.75525</v>
      </c>
      <c r="S60" s="27">
        <f t="shared" si="14"/>
        <v>20503.98738</v>
      </c>
      <c r="T60" s="27">
        <f t="shared" si="15"/>
        <v>20460.31274</v>
      </c>
      <c r="U60" s="27">
        <f t="shared" si="16"/>
        <v>20416.73113</v>
      </c>
      <c r="V60" s="27">
        <f t="shared" si="17"/>
        <v>20373.24235</v>
      </c>
      <c r="W60" s="27">
        <f t="shared" si="18"/>
        <v>20329.8462</v>
      </c>
      <c r="X60" s="27">
        <f t="shared" si="19"/>
        <v>20286.54249</v>
      </c>
      <c r="Y60" s="27">
        <f t="shared" si="20"/>
        <v>20449</v>
      </c>
      <c r="Z60" s="27">
        <f t="shared" si="21"/>
        <v>20449</v>
      </c>
      <c r="AA60" s="27">
        <f t="shared" si="22"/>
        <v>20396.37056</v>
      </c>
      <c r="AB60" s="27">
        <f t="shared" si="23"/>
        <v>20370.19481</v>
      </c>
      <c r="AC60" s="27">
        <f t="shared" si="24"/>
        <v>20344.11144</v>
      </c>
    </row>
    <row r="61">
      <c r="A61" s="24">
        <v>2.611606024E9</v>
      </c>
      <c r="B61" s="24" t="s">
        <v>98</v>
      </c>
      <c r="C61" s="24">
        <v>31783.0</v>
      </c>
      <c r="D61" s="24">
        <v>32113.0</v>
      </c>
      <c r="E61" s="24">
        <f t="shared" si="1"/>
        <v>-330</v>
      </c>
      <c r="F61" s="81">
        <f t="shared" si="2"/>
        <v>-0.01027621213</v>
      </c>
      <c r="G61" s="82">
        <f t="shared" si="3"/>
        <v>0.02102310296</v>
      </c>
      <c r="H61" s="27">
        <f t="shared" si="4"/>
        <v>33378.52773</v>
      </c>
      <c r="I61" s="27">
        <f t="shared" si="5"/>
        <v>33392.59218</v>
      </c>
      <c r="J61" s="32">
        <f t="shared" si="6"/>
        <v>-0.002130056018</v>
      </c>
      <c r="K61" s="32">
        <f t="shared" si="7"/>
        <v>-0.0008604110447</v>
      </c>
      <c r="L61" s="32">
        <f t="shared" si="8"/>
        <v>-27.63037988</v>
      </c>
      <c r="M61" s="27">
        <f t="shared" si="9"/>
        <v>32113</v>
      </c>
      <c r="N61" s="27">
        <f t="shared" si="25"/>
        <v>32044.59751</v>
      </c>
      <c r="O61" s="27">
        <f t="shared" si="10"/>
        <v>31976.34072</v>
      </c>
      <c r="P61" s="27">
        <f t="shared" si="11"/>
        <v>31908.22933</v>
      </c>
      <c r="Q61" s="27">
        <f t="shared" si="12"/>
        <v>31840.26301</v>
      </c>
      <c r="R61" s="27">
        <f t="shared" si="13"/>
        <v>31772.44147</v>
      </c>
      <c r="S61" s="27">
        <f t="shared" si="14"/>
        <v>31704.76439</v>
      </c>
      <c r="T61" s="27">
        <f t="shared" si="15"/>
        <v>31637.23146</v>
      </c>
      <c r="U61" s="27">
        <f t="shared" si="16"/>
        <v>31569.84239</v>
      </c>
      <c r="V61" s="27">
        <f t="shared" si="17"/>
        <v>31502.59685</v>
      </c>
      <c r="W61" s="27">
        <f t="shared" si="18"/>
        <v>31435.49456</v>
      </c>
      <c r="X61" s="27">
        <f t="shared" si="19"/>
        <v>31368.53519</v>
      </c>
      <c r="Y61" s="27">
        <f t="shared" si="20"/>
        <v>31783</v>
      </c>
      <c r="Z61" s="27">
        <f t="shared" si="21"/>
        <v>31783</v>
      </c>
      <c r="AA61" s="27">
        <f t="shared" si="22"/>
        <v>31728.45132</v>
      </c>
      <c r="AB61" s="27">
        <f t="shared" si="23"/>
        <v>31701.39297</v>
      </c>
      <c r="AC61" s="27">
        <f t="shared" si="24"/>
        <v>31674.47822</v>
      </c>
    </row>
    <row r="62">
      <c r="A62" s="24">
        <v>2.611606044E9</v>
      </c>
      <c r="B62" s="24" t="s">
        <v>99</v>
      </c>
      <c r="C62" s="24">
        <v>20126.0</v>
      </c>
      <c r="D62" s="24">
        <v>20304.0</v>
      </c>
      <c r="E62" s="24">
        <f t="shared" si="1"/>
        <v>-178</v>
      </c>
      <c r="F62" s="81">
        <f t="shared" si="2"/>
        <v>-0.008766745469</v>
      </c>
      <c r="G62" s="82">
        <f t="shared" si="3"/>
        <v>0.01329222067</v>
      </c>
      <c r="H62" s="27">
        <f t="shared" si="4"/>
        <v>21104.15181</v>
      </c>
      <c r="I62" s="27">
        <f t="shared" si="5"/>
        <v>21113.0443</v>
      </c>
      <c r="J62" s="32">
        <f t="shared" si="6"/>
        <v>-0.002130056018</v>
      </c>
      <c r="K62" s="32">
        <f t="shared" si="7"/>
        <v>-0.0007335141353</v>
      </c>
      <c r="L62" s="32">
        <f t="shared" si="8"/>
        <v>-14.893271</v>
      </c>
      <c r="M62" s="27">
        <f t="shared" si="9"/>
        <v>20304</v>
      </c>
      <c r="N62" s="27">
        <f t="shared" si="25"/>
        <v>20260.75134</v>
      </c>
      <c r="O62" s="27">
        <f t="shared" si="10"/>
        <v>20217.59481</v>
      </c>
      <c r="P62" s="27">
        <f t="shared" si="11"/>
        <v>20174.5302</v>
      </c>
      <c r="Q62" s="27">
        <f t="shared" si="12"/>
        <v>20131.55732</v>
      </c>
      <c r="R62" s="27">
        <f t="shared" si="13"/>
        <v>20088.67597</v>
      </c>
      <c r="S62" s="27">
        <f t="shared" si="14"/>
        <v>20045.88597</v>
      </c>
      <c r="T62" s="27">
        <f t="shared" si="15"/>
        <v>20003.18711</v>
      </c>
      <c r="U62" s="27">
        <f t="shared" si="16"/>
        <v>19960.5792</v>
      </c>
      <c r="V62" s="27">
        <f t="shared" si="17"/>
        <v>19918.06205</v>
      </c>
      <c r="W62" s="27">
        <f t="shared" si="18"/>
        <v>19875.63546</v>
      </c>
      <c r="X62" s="27">
        <f t="shared" si="19"/>
        <v>19833.29924</v>
      </c>
      <c r="Y62" s="27">
        <f t="shared" si="20"/>
        <v>20126</v>
      </c>
      <c r="Z62" s="27">
        <f t="shared" si="21"/>
        <v>20126</v>
      </c>
      <c r="AA62" s="27">
        <f t="shared" si="22"/>
        <v>20096.5659</v>
      </c>
      <c r="AB62" s="27">
        <f t="shared" si="23"/>
        <v>20081.98563</v>
      </c>
      <c r="AC62" s="27">
        <f t="shared" si="24"/>
        <v>20067.49629</v>
      </c>
    </row>
    <row r="63">
      <c r="A63" s="24">
        <v>2.611606007E9</v>
      </c>
      <c r="B63" s="24" t="s">
        <v>100</v>
      </c>
      <c r="C63" s="24">
        <v>990.0</v>
      </c>
      <c r="D63" s="24">
        <v>998.0</v>
      </c>
      <c r="E63" s="24">
        <f t="shared" si="1"/>
        <v>-8</v>
      </c>
      <c r="F63" s="81">
        <f t="shared" si="2"/>
        <v>-0.008016032064</v>
      </c>
      <c r="G63" s="82">
        <f t="shared" si="3"/>
        <v>0.0006533508782</v>
      </c>
      <c r="H63" s="27">
        <f t="shared" si="4"/>
        <v>1037.329763</v>
      </c>
      <c r="I63" s="27">
        <f t="shared" si="5"/>
        <v>1037.766855</v>
      </c>
      <c r="J63" s="32">
        <f t="shared" si="6"/>
        <v>-0.002130056018</v>
      </c>
      <c r="K63" s="32">
        <f t="shared" si="7"/>
        <v>-0.0006704695667</v>
      </c>
      <c r="L63" s="32">
        <f t="shared" si="8"/>
        <v>-0.6691286275</v>
      </c>
      <c r="M63" s="27">
        <f t="shared" si="9"/>
        <v>998</v>
      </c>
      <c r="N63" s="27">
        <f t="shared" si="25"/>
        <v>995.8742041</v>
      </c>
      <c r="O63" s="27">
        <f t="shared" si="10"/>
        <v>993.7529363</v>
      </c>
      <c r="P63" s="27">
        <f t="shared" si="11"/>
        <v>991.6361868</v>
      </c>
      <c r="Q63" s="27">
        <f t="shared" si="12"/>
        <v>989.5239462</v>
      </c>
      <c r="R63" s="27">
        <f t="shared" si="13"/>
        <v>987.4162048</v>
      </c>
      <c r="S63" s="27">
        <f t="shared" si="14"/>
        <v>985.3129529</v>
      </c>
      <c r="T63" s="27">
        <f t="shared" si="15"/>
        <v>983.2141812</v>
      </c>
      <c r="U63" s="27">
        <f t="shared" si="16"/>
        <v>981.1198799</v>
      </c>
      <c r="V63" s="27">
        <f t="shared" si="17"/>
        <v>979.0300396</v>
      </c>
      <c r="W63" s="27">
        <f t="shared" si="18"/>
        <v>976.9446507</v>
      </c>
      <c r="X63" s="27">
        <f t="shared" si="19"/>
        <v>974.8637039</v>
      </c>
      <c r="Y63" s="27">
        <f t="shared" si="20"/>
        <v>990</v>
      </c>
      <c r="Z63" s="27">
        <f t="shared" si="21"/>
        <v>990</v>
      </c>
      <c r="AA63" s="27">
        <f t="shared" si="22"/>
        <v>988.676962</v>
      </c>
      <c r="AB63" s="27">
        <f t="shared" si="23"/>
        <v>988.0221711</v>
      </c>
      <c r="AC63" s="27">
        <f t="shared" si="24"/>
        <v>987.3718529</v>
      </c>
    </row>
    <row r="64">
      <c r="A64" s="24">
        <v>2.611606093E9</v>
      </c>
      <c r="B64" s="24" t="s">
        <v>101</v>
      </c>
      <c r="C64" s="24">
        <v>29195.0</v>
      </c>
      <c r="D64" s="24">
        <v>29153.0</v>
      </c>
      <c r="E64" s="24">
        <f t="shared" si="1"/>
        <v>42</v>
      </c>
      <c r="F64" s="81">
        <f t="shared" si="2"/>
        <v>0.001440675059</v>
      </c>
      <c r="G64" s="82">
        <f t="shared" si="3"/>
        <v>0.01908530877</v>
      </c>
      <c r="H64" s="27">
        <f t="shared" si="4"/>
        <v>30301.87833</v>
      </c>
      <c r="I64" s="27">
        <f t="shared" si="5"/>
        <v>30314.6464</v>
      </c>
      <c r="J64" s="32">
        <f t="shared" si="6"/>
        <v>-0.002130056018</v>
      </c>
      <c r="K64" s="32">
        <f t="shared" si="7"/>
        <v>0.0001199770535</v>
      </c>
      <c r="L64" s="32">
        <f t="shared" si="8"/>
        <v>3.497691042</v>
      </c>
      <c r="M64" s="27">
        <f t="shared" si="9"/>
        <v>29153</v>
      </c>
      <c r="N64" s="27">
        <f t="shared" si="25"/>
        <v>29090.90248</v>
      </c>
      <c r="O64" s="27">
        <f t="shared" si="10"/>
        <v>29028.93723</v>
      </c>
      <c r="P64" s="27">
        <f t="shared" si="11"/>
        <v>28967.10396</v>
      </c>
      <c r="Q64" s="27">
        <f t="shared" si="12"/>
        <v>28905.40241</v>
      </c>
      <c r="R64" s="27">
        <f t="shared" si="13"/>
        <v>28843.83228</v>
      </c>
      <c r="S64" s="27">
        <f t="shared" si="14"/>
        <v>28782.3933</v>
      </c>
      <c r="T64" s="27">
        <f t="shared" si="15"/>
        <v>28721.08519</v>
      </c>
      <c r="U64" s="27">
        <f t="shared" si="16"/>
        <v>28659.90767</v>
      </c>
      <c r="V64" s="27">
        <f t="shared" si="17"/>
        <v>28598.86046</v>
      </c>
      <c r="W64" s="27">
        <f t="shared" si="18"/>
        <v>28537.94329</v>
      </c>
      <c r="X64" s="27">
        <f t="shared" si="19"/>
        <v>28477.15587</v>
      </c>
      <c r="Y64" s="27">
        <f t="shared" si="20"/>
        <v>29195</v>
      </c>
      <c r="Z64" s="27">
        <f t="shared" si="21"/>
        <v>29195</v>
      </c>
      <c r="AA64" s="27">
        <f t="shared" si="22"/>
        <v>29202.13792</v>
      </c>
      <c r="AB64" s="27">
        <f t="shared" si="23"/>
        <v>29205.90529</v>
      </c>
      <c r="AC64" s="27">
        <f t="shared" si="24"/>
        <v>29209.80456</v>
      </c>
    </row>
    <row r="65">
      <c r="A65" s="24">
        <v>2.611606069E9</v>
      </c>
      <c r="B65" s="24" t="s">
        <v>102</v>
      </c>
      <c r="C65" s="24">
        <v>70946.0</v>
      </c>
      <c r="D65" s="24">
        <v>70283.0</v>
      </c>
      <c r="E65" s="24">
        <f t="shared" si="1"/>
        <v>663</v>
      </c>
      <c r="F65" s="81">
        <f t="shared" si="2"/>
        <v>0.009433291123</v>
      </c>
      <c r="G65" s="82">
        <f t="shared" si="3"/>
        <v>0.04601148274</v>
      </c>
      <c r="H65" s="27">
        <f t="shared" si="4"/>
        <v>73052.75323</v>
      </c>
      <c r="I65" s="27">
        <f t="shared" si="5"/>
        <v>73083.53491</v>
      </c>
      <c r="J65" s="32">
        <f t="shared" si="6"/>
        <v>-0.002130056018</v>
      </c>
      <c r="K65" s="32">
        <f t="shared" si="7"/>
        <v>0.0007827291294</v>
      </c>
      <c r="L65" s="32">
        <f t="shared" si="8"/>
        <v>55.0125514</v>
      </c>
      <c r="M65" s="27">
        <f t="shared" si="9"/>
        <v>70283</v>
      </c>
      <c r="N65" s="27">
        <f t="shared" si="25"/>
        <v>70133.29327</v>
      </c>
      <c r="O65" s="27">
        <f t="shared" si="10"/>
        <v>69983.90543</v>
      </c>
      <c r="P65" s="27">
        <f t="shared" si="11"/>
        <v>69834.83579</v>
      </c>
      <c r="Q65" s="27">
        <f t="shared" si="12"/>
        <v>69686.08368</v>
      </c>
      <c r="R65" s="27">
        <f t="shared" si="13"/>
        <v>69537.64842</v>
      </c>
      <c r="S65" s="27">
        <f t="shared" si="14"/>
        <v>69389.52933</v>
      </c>
      <c r="T65" s="27">
        <f t="shared" si="15"/>
        <v>69241.72575</v>
      </c>
      <c r="U65" s="27">
        <f t="shared" si="16"/>
        <v>69094.23699</v>
      </c>
      <c r="V65" s="27">
        <f t="shared" si="17"/>
        <v>68947.0624</v>
      </c>
      <c r="W65" s="27">
        <f t="shared" si="18"/>
        <v>68800.20129</v>
      </c>
      <c r="X65" s="27">
        <f t="shared" si="19"/>
        <v>68653.65301</v>
      </c>
      <c r="Y65" s="27">
        <f t="shared" si="20"/>
        <v>70946</v>
      </c>
      <c r="Z65" s="27">
        <f t="shared" si="21"/>
        <v>70946</v>
      </c>
      <c r="AA65" s="27">
        <f t="shared" si="22"/>
        <v>71057.38489</v>
      </c>
      <c r="AB65" s="27">
        <f t="shared" si="23"/>
        <v>71113.55949</v>
      </c>
      <c r="AC65" s="27">
        <f t="shared" si="24"/>
        <v>71170.05461</v>
      </c>
    </row>
    <row r="66">
      <c r="A66" s="24">
        <v>2.61160608E9</v>
      </c>
      <c r="B66" s="24" t="s">
        <v>103</v>
      </c>
      <c r="C66" s="63">
        <v>16559.0</v>
      </c>
      <c r="D66" s="24">
        <v>16194.0</v>
      </c>
      <c r="E66" s="24">
        <f t="shared" si="1"/>
        <v>365</v>
      </c>
      <c r="F66" s="81">
        <f t="shared" si="2"/>
        <v>0.02253921205</v>
      </c>
      <c r="G66" s="82">
        <f t="shared" si="3"/>
        <v>0.01060156726</v>
      </c>
      <c r="H66" s="27">
        <f t="shared" si="4"/>
        <v>16832.18254</v>
      </c>
      <c r="I66" s="27">
        <f t="shared" si="5"/>
        <v>16839.27499</v>
      </c>
      <c r="J66" s="32">
        <f t="shared" si="6"/>
        <v>-0.002130056018</v>
      </c>
      <c r="K66" s="32">
        <f t="shared" si="7"/>
        <v>0.001859139177</v>
      </c>
      <c r="L66" s="32">
        <f t="shared" si="8"/>
        <v>30.10689983</v>
      </c>
      <c r="M66" s="27">
        <f t="shared" si="9"/>
        <v>16194</v>
      </c>
      <c r="N66" s="27">
        <f t="shared" si="25"/>
        <v>16159.50587</v>
      </c>
      <c r="O66" s="27">
        <f t="shared" si="10"/>
        <v>16125.08522</v>
      </c>
      <c r="P66" s="27">
        <f t="shared" si="11"/>
        <v>16090.73789</v>
      </c>
      <c r="Q66" s="27">
        <f t="shared" si="12"/>
        <v>16056.46371</v>
      </c>
      <c r="R66" s="27">
        <f t="shared" si="13"/>
        <v>16022.26255</v>
      </c>
      <c r="S66" s="27">
        <f t="shared" si="14"/>
        <v>15988.13423</v>
      </c>
      <c r="T66" s="27">
        <f t="shared" si="15"/>
        <v>15954.07861</v>
      </c>
      <c r="U66" s="27">
        <f t="shared" si="16"/>
        <v>15920.09553</v>
      </c>
      <c r="V66" s="27">
        <f t="shared" si="17"/>
        <v>15886.18483</v>
      </c>
      <c r="W66" s="27">
        <f t="shared" si="18"/>
        <v>15852.34637</v>
      </c>
      <c r="X66" s="27">
        <f t="shared" si="19"/>
        <v>15818.57998</v>
      </c>
      <c r="Y66" s="27">
        <f t="shared" si="20"/>
        <v>16559</v>
      </c>
      <c r="Z66" s="27">
        <f t="shared" si="21"/>
        <v>16559</v>
      </c>
      <c r="AA66" s="27">
        <f t="shared" si="22"/>
        <v>16620.6461</v>
      </c>
      <c r="AB66" s="27">
        <f t="shared" si="23"/>
        <v>16651.58169</v>
      </c>
      <c r="AC66" s="27">
        <f t="shared" si="24"/>
        <v>16682.59209</v>
      </c>
    </row>
    <row r="67">
      <c r="A67" s="24">
        <v>2.611606092E9</v>
      </c>
      <c r="B67" s="24" t="s">
        <v>104</v>
      </c>
      <c r="C67" s="24">
        <v>125805.0</v>
      </c>
      <c r="D67" s="24">
        <v>122689.0</v>
      </c>
      <c r="E67" s="24">
        <f t="shared" si="1"/>
        <v>3116</v>
      </c>
      <c r="F67" s="81">
        <f t="shared" si="2"/>
        <v>0.0253975499</v>
      </c>
      <c r="G67" s="82">
        <f t="shared" si="3"/>
        <v>0.08031960511</v>
      </c>
      <c r="H67" s="27">
        <f t="shared" si="4"/>
        <v>127523.9993</v>
      </c>
      <c r="I67" s="27">
        <f t="shared" si="5"/>
        <v>127577.7331</v>
      </c>
      <c r="J67" s="32">
        <f t="shared" si="6"/>
        <v>-0.002130056018</v>
      </c>
      <c r="K67" s="32">
        <f t="shared" si="7"/>
        <v>0.00209221822</v>
      </c>
      <c r="L67" s="32">
        <f t="shared" si="8"/>
        <v>256.6921612</v>
      </c>
      <c r="M67" s="27">
        <f t="shared" si="9"/>
        <v>122689</v>
      </c>
      <c r="N67" s="27">
        <f t="shared" si="25"/>
        <v>122427.6656</v>
      </c>
      <c r="O67" s="27">
        <f t="shared" si="10"/>
        <v>122166.8878</v>
      </c>
      <c r="P67" s="27">
        <f t="shared" si="11"/>
        <v>121906.6655</v>
      </c>
      <c r="Q67" s="27">
        <f t="shared" si="12"/>
        <v>121646.9974</v>
      </c>
      <c r="R67" s="27">
        <f t="shared" si="13"/>
        <v>121387.8825</v>
      </c>
      <c r="S67" s="27">
        <f t="shared" si="14"/>
        <v>121129.3195</v>
      </c>
      <c r="T67" s="27">
        <f t="shared" si="15"/>
        <v>120871.3073</v>
      </c>
      <c r="U67" s="27">
        <f t="shared" si="16"/>
        <v>120613.8446</v>
      </c>
      <c r="V67" s="27">
        <f t="shared" si="17"/>
        <v>120356.9304</v>
      </c>
      <c r="W67" s="27">
        <f t="shared" si="18"/>
        <v>120100.5634</v>
      </c>
      <c r="X67" s="27">
        <f t="shared" si="19"/>
        <v>119844.7425</v>
      </c>
      <c r="Y67" s="27">
        <f t="shared" si="20"/>
        <v>125805</v>
      </c>
      <c r="Z67" s="27">
        <f t="shared" si="21"/>
        <v>125805</v>
      </c>
      <c r="AA67" s="27">
        <f t="shared" si="22"/>
        <v>126331.9938</v>
      </c>
      <c r="AB67" s="27">
        <f t="shared" si="23"/>
        <v>126596.3457</v>
      </c>
      <c r="AC67" s="27">
        <f t="shared" si="24"/>
        <v>126861.266</v>
      </c>
    </row>
    <row r="68">
      <c r="A68" s="24">
        <v>2.611606016E9</v>
      </c>
      <c r="B68" s="24" t="s">
        <v>105</v>
      </c>
      <c r="C68" s="24">
        <v>10741.0</v>
      </c>
      <c r="D68" s="24">
        <v>10399.0</v>
      </c>
      <c r="E68" s="24">
        <f t="shared" si="1"/>
        <v>342</v>
      </c>
      <c r="F68" s="81">
        <f t="shared" si="2"/>
        <v>0.03288777767</v>
      </c>
      <c r="G68" s="82">
        <f t="shared" si="3"/>
        <v>0.006807811405</v>
      </c>
      <c r="H68" s="27">
        <f t="shared" si="4"/>
        <v>10808.80982</v>
      </c>
      <c r="I68" s="27">
        <f t="shared" si="5"/>
        <v>10813.36425</v>
      </c>
      <c r="J68" s="32">
        <f t="shared" si="6"/>
        <v>-0.002130056018</v>
      </c>
      <c r="K68" s="32">
        <f t="shared" si="7"/>
        <v>0.002700184527</v>
      </c>
      <c r="L68" s="32">
        <f t="shared" si="8"/>
        <v>28.0792189</v>
      </c>
      <c r="M68" s="27">
        <f t="shared" si="9"/>
        <v>10399</v>
      </c>
      <c r="N68" s="27">
        <f t="shared" si="25"/>
        <v>10376.84955</v>
      </c>
      <c r="O68" s="27">
        <f t="shared" si="10"/>
        <v>10354.74628</v>
      </c>
      <c r="P68" s="27">
        <f t="shared" si="11"/>
        <v>10332.69009</v>
      </c>
      <c r="Q68" s="27">
        <f t="shared" si="12"/>
        <v>10310.68088</v>
      </c>
      <c r="R68" s="27">
        <f t="shared" si="13"/>
        <v>10288.71855</v>
      </c>
      <c r="S68" s="27">
        <f t="shared" si="14"/>
        <v>10266.803</v>
      </c>
      <c r="T68" s="27">
        <f t="shared" si="15"/>
        <v>10244.93414</v>
      </c>
      <c r="U68" s="27">
        <f t="shared" si="16"/>
        <v>10223.11185</v>
      </c>
      <c r="V68" s="27">
        <f t="shared" si="17"/>
        <v>10201.33605</v>
      </c>
      <c r="W68" s="27">
        <f t="shared" si="18"/>
        <v>10179.60664</v>
      </c>
      <c r="X68" s="27">
        <f t="shared" si="19"/>
        <v>10157.9235</v>
      </c>
      <c r="Y68" s="27">
        <f t="shared" si="20"/>
        <v>10741</v>
      </c>
      <c r="Z68" s="27">
        <f t="shared" si="21"/>
        <v>10741</v>
      </c>
      <c r="AA68" s="27">
        <f t="shared" si="22"/>
        <v>10799.0541</v>
      </c>
      <c r="AB68" s="27">
        <f t="shared" si="23"/>
        <v>10828.15414</v>
      </c>
      <c r="AC68" s="27">
        <f t="shared" si="24"/>
        <v>10857.30271</v>
      </c>
    </row>
    <row r="69">
      <c r="A69" s="24">
        <v>2.611606011E9</v>
      </c>
      <c r="B69" s="24" t="s">
        <v>106</v>
      </c>
      <c r="C69" s="24">
        <v>8876.0</v>
      </c>
      <c r="D69" s="24">
        <v>8533.0</v>
      </c>
      <c r="E69" s="24">
        <f t="shared" si="1"/>
        <v>343</v>
      </c>
      <c r="F69" s="81">
        <f t="shared" si="2"/>
        <v>0.04019688269</v>
      </c>
      <c r="G69" s="82">
        <f t="shared" si="3"/>
        <v>0.005586215475</v>
      </c>
      <c r="H69" s="27">
        <f t="shared" si="4"/>
        <v>8869.273413</v>
      </c>
      <c r="I69" s="27">
        <f t="shared" si="5"/>
        <v>8873.010591</v>
      </c>
      <c r="J69" s="32">
        <f t="shared" si="6"/>
        <v>-0.002130056018</v>
      </c>
      <c r="K69" s="32">
        <f t="shared" si="7"/>
        <v>0.003289565912</v>
      </c>
      <c r="L69" s="32">
        <f t="shared" si="8"/>
        <v>28.06986592</v>
      </c>
      <c r="M69" s="27">
        <f t="shared" si="9"/>
        <v>8533</v>
      </c>
      <c r="N69" s="27">
        <f t="shared" si="25"/>
        <v>8514.824232</v>
      </c>
      <c r="O69" s="27">
        <f t="shared" si="10"/>
        <v>8496.687179</v>
      </c>
      <c r="P69" s="27">
        <f t="shared" si="11"/>
        <v>8478.58876</v>
      </c>
      <c r="Q69" s="27">
        <f t="shared" si="12"/>
        <v>8460.528891</v>
      </c>
      <c r="R69" s="27">
        <f t="shared" si="13"/>
        <v>8442.50749</v>
      </c>
      <c r="S69" s="27">
        <f t="shared" si="14"/>
        <v>8424.524476</v>
      </c>
      <c r="T69" s="27">
        <f t="shared" si="15"/>
        <v>8406.579767</v>
      </c>
      <c r="U69" s="27">
        <f t="shared" si="16"/>
        <v>8388.673282</v>
      </c>
      <c r="V69" s="27">
        <f t="shared" si="17"/>
        <v>8370.804938</v>
      </c>
      <c r="W69" s="27">
        <f t="shared" si="18"/>
        <v>8352.974654</v>
      </c>
      <c r="X69" s="27">
        <f t="shared" si="19"/>
        <v>8335.18235</v>
      </c>
      <c r="Y69" s="27">
        <f t="shared" si="20"/>
        <v>8876</v>
      </c>
      <c r="Z69" s="27">
        <f t="shared" si="21"/>
        <v>8876</v>
      </c>
      <c r="AA69" s="27">
        <f t="shared" si="22"/>
        <v>8934.436646</v>
      </c>
      <c r="AB69" s="27">
        <f t="shared" si="23"/>
        <v>8963.71529</v>
      </c>
      <c r="AC69" s="27">
        <f t="shared" si="24"/>
        <v>8993.034035</v>
      </c>
    </row>
    <row r="70">
      <c r="A70" s="24">
        <v>2.611606003E9</v>
      </c>
      <c r="B70" s="24" t="s">
        <v>107</v>
      </c>
      <c r="C70" s="24">
        <v>13147.0</v>
      </c>
      <c r="D70" s="24">
        <v>12573.0</v>
      </c>
      <c r="E70" s="24">
        <f t="shared" si="1"/>
        <v>574</v>
      </c>
      <c r="F70" s="81">
        <f t="shared" si="2"/>
        <v>0.04565338424</v>
      </c>
      <c r="G70" s="82">
        <f t="shared" si="3"/>
        <v>0.008231042677</v>
      </c>
      <c r="H70" s="27">
        <f t="shared" si="4"/>
        <v>13068.48408</v>
      </c>
      <c r="I70" s="27">
        <f t="shared" si="5"/>
        <v>13073.99064</v>
      </c>
      <c r="J70" s="32">
        <f t="shared" si="6"/>
        <v>-0.002130056018</v>
      </c>
      <c r="K70" s="32">
        <f t="shared" si="7"/>
        <v>0.003727089898</v>
      </c>
      <c r="L70" s="32">
        <f t="shared" si="8"/>
        <v>46.86070129</v>
      </c>
      <c r="M70" s="27">
        <f t="shared" si="9"/>
        <v>12573</v>
      </c>
      <c r="N70" s="27">
        <f t="shared" si="25"/>
        <v>12546.21881</v>
      </c>
      <c r="O70" s="27">
        <f t="shared" si="10"/>
        <v>12519.49466</v>
      </c>
      <c r="P70" s="27">
        <f t="shared" si="11"/>
        <v>12492.82743</v>
      </c>
      <c r="Q70" s="27">
        <f t="shared" si="12"/>
        <v>12466.21701</v>
      </c>
      <c r="R70" s="27">
        <f t="shared" si="13"/>
        <v>12439.66327</v>
      </c>
      <c r="S70" s="27">
        <f t="shared" si="14"/>
        <v>12413.16609</v>
      </c>
      <c r="T70" s="27">
        <f t="shared" si="15"/>
        <v>12386.72535</v>
      </c>
      <c r="U70" s="27">
        <f t="shared" si="16"/>
        <v>12360.34093</v>
      </c>
      <c r="V70" s="27">
        <f t="shared" si="17"/>
        <v>12334.01271</v>
      </c>
      <c r="W70" s="27">
        <f t="shared" si="18"/>
        <v>12307.74057</v>
      </c>
      <c r="X70" s="27">
        <f t="shared" si="19"/>
        <v>12281.5244</v>
      </c>
      <c r="Y70" s="27">
        <f t="shared" si="20"/>
        <v>13147</v>
      </c>
      <c r="Z70" s="27">
        <f t="shared" si="21"/>
        <v>13147</v>
      </c>
      <c r="AA70" s="27">
        <f t="shared" si="22"/>
        <v>13245.05975</v>
      </c>
      <c r="AB70" s="27">
        <f t="shared" si="23"/>
        <v>13294.17897</v>
      </c>
      <c r="AC70" s="27">
        <f t="shared" si="24"/>
        <v>13343.35759</v>
      </c>
    </row>
    <row r="71">
      <c r="A71" s="24">
        <v>2.611606064E9</v>
      </c>
      <c r="B71" s="24" t="s">
        <v>108</v>
      </c>
      <c r="C71" s="24">
        <v>3946.0</v>
      </c>
      <c r="D71" s="24">
        <v>3734.0</v>
      </c>
      <c r="E71" s="24">
        <f t="shared" si="1"/>
        <v>212</v>
      </c>
      <c r="F71" s="81">
        <f t="shared" si="2"/>
        <v>0.05677557579</v>
      </c>
      <c r="G71" s="82">
        <f t="shared" si="3"/>
        <v>0.002444501182</v>
      </c>
      <c r="H71" s="27">
        <f t="shared" si="4"/>
        <v>3881.151638</v>
      </c>
      <c r="I71" s="27">
        <f t="shared" si="5"/>
        <v>3882.787009</v>
      </c>
      <c r="J71" s="32">
        <f t="shared" si="6"/>
        <v>-0.002130056018</v>
      </c>
      <c r="K71" s="32">
        <f t="shared" si="7"/>
        <v>0.004612468375</v>
      </c>
      <c r="L71" s="32">
        <f t="shared" si="8"/>
        <v>17.22295691</v>
      </c>
      <c r="M71" s="27">
        <f t="shared" si="9"/>
        <v>3734</v>
      </c>
      <c r="N71" s="27">
        <f t="shared" si="25"/>
        <v>3726.046371</v>
      </c>
      <c r="O71" s="27">
        <f t="shared" si="10"/>
        <v>3718.109683</v>
      </c>
      <c r="P71" s="27">
        <f t="shared" si="11"/>
        <v>3710.189901</v>
      </c>
      <c r="Q71" s="27">
        <f t="shared" si="12"/>
        <v>3702.286989</v>
      </c>
      <c r="R71" s="27">
        <f t="shared" si="13"/>
        <v>3694.40091</v>
      </c>
      <c r="S71" s="27">
        <f t="shared" si="14"/>
        <v>3686.53163</v>
      </c>
      <c r="T71" s="27">
        <f t="shared" si="15"/>
        <v>3678.679111</v>
      </c>
      <c r="U71" s="27">
        <f t="shared" si="16"/>
        <v>3670.843318</v>
      </c>
      <c r="V71" s="27">
        <f t="shared" si="17"/>
        <v>3663.024216</v>
      </c>
      <c r="W71" s="27">
        <f t="shared" si="18"/>
        <v>3655.221769</v>
      </c>
      <c r="X71" s="27">
        <f t="shared" si="19"/>
        <v>3647.435942</v>
      </c>
      <c r="Y71" s="27">
        <f t="shared" si="20"/>
        <v>3946</v>
      </c>
      <c r="Z71" s="27">
        <f t="shared" si="21"/>
        <v>3946</v>
      </c>
      <c r="AA71" s="27">
        <f t="shared" si="22"/>
        <v>3982.419504</v>
      </c>
      <c r="AB71" s="27">
        <f t="shared" si="23"/>
        <v>4000.656073</v>
      </c>
      <c r="AC71" s="27">
        <f t="shared" si="24"/>
        <v>4018.91047</v>
      </c>
    </row>
    <row r="72">
      <c r="A72" s="24">
        <v>2.611606091E9</v>
      </c>
      <c r="B72" s="24" t="s">
        <v>109</v>
      </c>
      <c r="C72" s="24">
        <v>52158.0</v>
      </c>
      <c r="D72" s="24">
        <v>48488.0</v>
      </c>
      <c r="E72" s="24">
        <f t="shared" si="1"/>
        <v>3670</v>
      </c>
      <c r="F72" s="81">
        <f t="shared" si="2"/>
        <v>0.07568883023</v>
      </c>
      <c r="G72" s="82">
        <f t="shared" si="3"/>
        <v>0.03174316371</v>
      </c>
      <c r="H72" s="27">
        <f t="shared" si="4"/>
        <v>50398.84323</v>
      </c>
      <c r="I72" s="27">
        <f t="shared" si="5"/>
        <v>50420.0794</v>
      </c>
      <c r="J72" s="32">
        <f t="shared" si="6"/>
        <v>-0.002130056018</v>
      </c>
      <c r="K72" s="32">
        <f t="shared" si="7"/>
        <v>0.00609862373</v>
      </c>
      <c r="L72" s="32">
        <f t="shared" si="8"/>
        <v>295.7100674</v>
      </c>
      <c r="M72" s="27">
        <f t="shared" si="9"/>
        <v>48488</v>
      </c>
      <c r="N72" s="27">
        <f t="shared" si="25"/>
        <v>48384.71784</v>
      </c>
      <c r="O72" s="27">
        <f t="shared" si="10"/>
        <v>48281.65568</v>
      </c>
      <c r="P72" s="27">
        <f t="shared" si="11"/>
        <v>48178.81305</v>
      </c>
      <c r="Q72" s="27">
        <f t="shared" si="12"/>
        <v>48076.18948</v>
      </c>
      <c r="R72" s="27">
        <f t="shared" si="13"/>
        <v>47973.78451</v>
      </c>
      <c r="S72" s="27">
        <f t="shared" si="14"/>
        <v>47871.59766</v>
      </c>
      <c r="T72" s="27">
        <f t="shared" si="15"/>
        <v>47769.62847</v>
      </c>
      <c r="U72" s="27">
        <f t="shared" si="16"/>
        <v>47667.87649</v>
      </c>
      <c r="V72" s="27">
        <f t="shared" si="17"/>
        <v>47566.34124</v>
      </c>
      <c r="W72" s="27">
        <f t="shared" si="18"/>
        <v>47465.02227</v>
      </c>
      <c r="X72" s="27">
        <f t="shared" si="19"/>
        <v>47363.91911</v>
      </c>
      <c r="Y72" s="27">
        <f t="shared" si="20"/>
        <v>52158</v>
      </c>
      <c r="Z72" s="27">
        <f t="shared" si="21"/>
        <v>52158</v>
      </c>
      <c r="AA72" s="27">
        <f t="shared" si="22"/>
        <v>52794.42068</v>
      </c>
      <c r="AB72" s="27">
        <f t="shared" si="23"/>
        <v>53112.98549</v>
      </c>
      <c r="AC72" s="27">
        <f t="shared" si="24"/>
        <v>53431.78594</v>
      </c>
    </row>
    <row r="73">
      <c r="A73" s="24">
        <v>2.611606039E9</v>
      </c>
      <c r="B73" s="24" t="s">
        <v>110</v>
      </c>
      <c r="C73" s="24">
        <v>7996.0</v>
      </c>
      <c r="D73" s="24">
        <v>7275.0</v>
      </c>
      <c r="E73" s="24">
        <f t="shared" si="1"/>
        <v>721</v>
      </c>
      <c r="F73" s="81">
        <f t="shared" si="2"/>
        <v>0.09910652921</v>
      </c>
      <c r="G73" s="82">
        <f t="shared" si="3"/>
        <v>0.004762652945</v>
      </c>
      <c r="H73" s="27">
        <f t="shared" si="4"/>
        <v>7561.697419</v>
      </c>
      <c r="I73" s="27">
        <f t="shared" si="5"/>
        <v>7564.883634</v>
      </c>
      <c r="J73" s="32">
        <f t="shared" si="6"/>
        <v>-0.002130056018</v>
      </c>
      <c r="K73" s="32">
        <f t="shared" si="7"/>
        <v>0.007905888088</v>
      </c>
      <c r="L73" s="32">
        <f t="shared" si="8"/>
        <v>57.51533584</v>
      </c>
      <c r="M73" s="27">
        <f t="shared" si="9"/>
        <v>7275</v>
      </c>
      <c r="N73" s="27">
        <f t="shared" si="25"/>
        <v>7259.503842</v>
      </c>
      <c r="O73" s="27">
        <f t="shared" si="10"/>
        <v>7244.040693</v>
      </c>
      <c r="P73" s="27">
        <f t="shared" si="11"/>
        <v>7228.61048</v>
      </c>
      <c r="Q73" s="27">
        <f t="shared" si="12"/>
        <v>7213.213135</v>
      </c>
      <c r="R73" s="27">
        <f t="shared" si="13"/>
        <v>7197.848587</v>
      </c>
      <c r="S73" s="27">
        <f t="shared" si="14"/>
        <v>7182.516766</v>
      </c>
      <c r="T73" s="27">
        <f t="shared" si="15"/>
        <v>7167.217603</v>
      </c>
      <c r="U73" s="27">
        <f t="shared" si="16"/>
        <v>7151.951028</v>
      </c>
      <c r="V73" s="27">
        <f t="shared" si="17"/>
        <v>7136.716972</v>
      </c>
      <c r="W73" s="27">
        <f t="shared" si="18"/>
        <v>7121.515365</v>
      </c>
      <c r="X73" s="27">
        <f t="shared" si="19"/>
        <v>7106.346138</v>
      </c>
      <c r="Y73" s="27">
        <f t="shared" si="20"/>
        <v>7996</v>
      </c>
      <c r="Z73" s="27">
        <f t="shared" si="21"/>
        <v>7996</v>
      </c>
      <c r="AA73" s="27">
        <f t="shared" si="22"/>
        <v>8122.467241</v>
      </c>
      <c r="AB73" s="27">
        <f t="shared" si="23"/>
        <v>8185.755203</v>
      </c>
      <c r="AC73" s="27">
        <f t="shared" si="24"/>
        <v>8249.079289</v>
      </c>
    </row>
    <row r="74">
      <c r="A74" s="24">
        <v>2.611606084E9</v>
      </c>
      <c r="B74" s="24" t="s">
        <v>111</v>
      </c>
      <c r="C74" s="24">
        <v>9835.0</v>
      </c>
      <c r="D74" s="24">
        <v>8838.0</v>
      </c>
      <c r="E74" s="24">
        <f t="shared" si="1"/>
        <v>997</v>
      </c>
      <c r="F74" s="81">
        <f t="shared" si="2"/>
        <v>0.1128083277</v>
      </c>
      <c r="G74" s="82">
        <f t="shared" si="3"/>
        <v>0.005785886835</v>
      </c>
      <c r="H74" s="27">
        <f t="shared" si="4"/>
        <v>9186.29303</v>
      </c>
      <c r="I74" s="27">
        <f t="shared" si="5"/>
        <v>9190.163788</v>
      </c>
      <c r="J74" s="32">
        <f t="shared" si="6"/>
        <v>-0.002130056018</v>
      </c>
      <c r="K74" s="32">
        <f t="shared" si="7"/>
        <v>0.008947024575</v>
      </c>
      <c r="L74" s="32">
        <f t="shared" si="8"/>
        <v>79.0738032</v>
      </c>
      <c r="M74" s="27">
        <f t="shared" si="9"/>
        <v>8838</v>
      </c>
      <c r="N74" s="27">
        <f t="shared" si="25"/>
        <v>8819.174565</v>
      </c>
      <c r="O74" s="27">
        <f t="shared" si="10"/>
        <v>8800.389229</v>
      </c>
      <c r="P74" s="27">
        <f t="shared" si="11"/>
        <v>8781.643907</v>
      </c>
      <c r="Q74" s="27">
        <f t="shared" si="12"/>
        <v>8762.938514</v>
      </c>
      <c r="R74" s="27">
        <f t="shared" si="13"/>
        <v>8744.272964</v>
      </c>
      <c r="S74" s="27">
        <f t="shared" si="14"/>
        <v>8725.647172</v>
      </c>
      <c r="T74" s="27">
        <f t="shared" si="15"/>
        <v>8707.061055</v>
      </c>
      <c r="U74" s="27">
        <f t="shared" si="16"/>
        <v>8688.514527</v>
      </c>
      <c r="V74" s="27">
        <f t="shared" si="17"/>
        <v>8670.007505</v>
      </c>
      <c r="W74" s="27">
        <f t="shared" si="18"/>
        <v>8651.539903</v>
      </c>
      <c r="X74" s="27">
        <f t="shared" si="19"/>
        <v>8633.111638</v>
      </c>
      <c r="Y74" s="27">
        <f t="shared" si="20"/>
        <v>9835</v>
      </c>
      <c r="Z74" s="27">
        <f t="shared" si="21"/>
        <v>9835</v>
      </c>
      <c r="AA74" s="27">
        <f t="shared" si="22"/>
        <v>10011.0326</v>
      </c>
      <c r="AB74" s="27">
        <f t="shared" si="23"/>
        <v>10099.11573</v>
      </c>
      <c r="AC74" s="27">
        <f t="shared" si="24"/>
        <v>10187.2433</v>
      </c>
    </row>
    <row r="75">
      <c r="A75" s="24">
        <v>2.611606048E9</v>
      </c>
      <c r="B75" s="24" t="s">
        <v>112</v>
      </c>
      <c r="C75" s="24">
        <v>32450.0</v>
      </c>
      <c r="D75" s="24">
        <v>29044.0</v>
      </c>
      <c r="E75" s="24">
        <f t="shared" si="1"/>
        <v>3406</v>
      </c>
      <c r="F75" s="81">
        <f t="shared" si="2"/>
        <v>0.1172703484</v>
      </c>
      <c r="G75" s="82">
        <f t="shared" si="3"/>
        <v>0.01901395081</v>
      </c>
      <c r="H75" s="27">
        <f t="shared" si="4"/>
        <v>30188.5828</v>
      </c>
      <c r="I75" s="27">
        <f t="shared" si="5"/>
        <v>30201.30313</v>
      </c>
      <c r="J75" s="32">
        <f t="shared" si="6"/>
        <v>-0.002130056018</v>
      </c>
      <c r="K75" s="32">
        <f t="shared" si="7"/>
        <v>0.009283537314</v>
      </c>
      <c r="L75" s="32">
        <f t="shared" si="8"/>
        <v>269.6310578</v>
      </c>
      <c r="M75" s="27">
        <f t="shared" si="9"/>
        <v>29044</v>
      </c>
      <c r="N75" s="27">
        <f t="shared" si="25"/>
        <v>28982.13465</v>
      </c>
      <c r="O75" s="27">
        <f t="shared" si="10"/>
        <v>28920.40108</v>
      </c>
      <c r="P75" s="27">
        <f t="shared" si="11"/>
        <v>28858.79901</v>
      </c>
      <c r="Q75" s="27">
        <f t="shared" si="12"/>
        <v>28797.32815</v>
      </c>
      <c r="R75" s="27">
        <f t="shared" si="13"/>
        <v>28735.98823</v>
      </c>
      <c r="S75" s="27">
        <f t="shared" si="14"/>
        <v>28674.77896</v>
      </c>
      <c r="T75" s="27">
        <f t="shared" si="15"/>
        <v>28613.70008</v>
      </c>
      <c r="U75" s="27">
        <f t="shared" si="16"/>
        <v>28552.75129</v>
      </c>
      <c r="V75" s="27">
        <f t="shared" si="17"/>
        <v>28491.93233</v>
      </c>
      <c r="W75" s="27">
        <f t="shared" si="18"/>
        <v>28431.24292</v>
      </c>
      <c r="X75" s="27">
        <f t="shared" si="19"/>
        <v>28370.68278</v>
      </c>
      <c r="Y75" s="27">
        <f t="shared" si="20"/>
        <v>32450</v>
      </c>
      <c r="Z75" s="27">
        <f t="shared" si="21"/>
        <v>32450</v>
      </c>
      <c r="AA75" s="27">
        <f t="shared" si="22"/>
        <v>33052.6488</v>
      </c>
      <c r="AB75" s="27">
        <f t="shared" si="23"/>
        <v>33354.19373</v>
      </c>
      <c r="AC75" s="27">
        <f t="shared" si="24"/>
        <v>33655.88527</v>
      </c>
    </row>
    <row r="76">
      <c r="A76" s="24">
        <v>2.611606062E9</v>
      </c>
      <c r="B76" s="24" t="s">
        <v>113</v>
      </c>
      <c r="C76" s="24">
        <v>25832.0</v>
      </c>
      <c r="D76" s="24">
        <v>22838.0</v>
      </c>
      <c r="E76" s="24">
        <f t="shared" si="1"/>
        <v>2994</v>
      </c>
      <c r="F76" s="81">
        <f t="shared" si="2"/>
        <v>0.131097294</v>
      </c>
      <c r="G76" s="82">
        <f t="shared" si="3"/>
        <v>0.01495112962</v>
      </c>
      <c r="H76" s="27">
        <f t="shared" si="4"/>
        <v>23738.01315</v>
      </c>
      <c r="I76" s="27">
        <f t="shared" si="5"/>
        <v>23748.01546</v>
      </c>
      <c r="J76" s="32">
        <f t="shared" si="6"/>
        <v>-0.002130056018</v>
      </c>
      <c r="K76" s="32">
        <f t="shared" si="7"/>
        <v>0.01031855776</v>
      </c>
      <c r="L76" s="32">
        <f t="shared" si="8"/>
        <v>235.6552222</v>
      </c>
      <c r="M76" s="27">
        <f t="shared" si="9"/>
        <v>22838</v>
      </c>
      <c r="N76" s="27">
        <f t="shared" si="25"/>
        <v>22789.35378</v>
      </c>
      <c r="O76" s="27">
        <f t="shared" si="10"/>
        <v>22740.81118</v>
      </c>
      <c r="P76" s="27">
        <f t="shared" si="11"/>
        <v>22692.37198</v>
      </c>
      <c r="Q76" s="27">
        <f t="shared" si="12"/>
        <v>22644.03596</v>
      </c>
      <c r="R76" s="27">
        <f t="shared" si="13"/>
        <v>22595.80289</v>
      </c>
      <c r="S76" s="27">
        <f t="shared" si="14"/>
        <v>22547.67256</v>
      </c>
      <c r="T76" s="27">
        <f t="shared" si="15"/>
        <v>22499.64476</v>
      </c>
      <c r="U76" s="27">
        <f t="shared" si="16"/>
        <v>22451.71926</v>
      </c>
      <c r="V76" s="27">
        <f t="shared" si="17"/>
        <v>22403.89584</v>
      </c>
      <c r="W76" s="27">
        <f t="shared" si="18"/>
        <v>22356.17428</v>
      </c>
      <c r="X76" s="27">
        <f t="shared" si="19"/>
        <v>22308.55438</v>
      </c>
      <c r="Y76" s="27">
        <f t="shared" si="20"/>
        <v>25832</v>
      </c>
      <c r="Z76" s="27">
        <f t="shared" si="21"/>
        <v>25832</v>
      </c>
      <c r="AA76" s="27">
        <f t="shared" si="22"/>
        <v>26365.21517</v>
      </c>
      <c r="AB76" s="27">
        <f t="shared" si="23"/>
        <v>26631.99831</v>
      </c>
      <c r="AC76" s="27">
        <f t="shared" si="24"/>
        <v>26898.89816</v>
      </c>
    </row>
    <row r="77">
      <c r="A77" s="24">
        <v>2.611606058E9</v>
      </c>
      <c r="B77" s="24" t="s">
        <v>114</v>
      </c>
      <c r="C77" s="24">
        <v>6738.0</v>
      </c>
      <c r="D77" s="24">
        <v>5913.0</v>
      </c>
      <c r="E77" s="24">
        <f t="shared" si="1"/>
        <v>825</v>
      </c>
      <c r="F77" s="81">
        <f t="shared" si="2"/>
        <v>0.1395230847</v>
      </c>
      <c r="G77" s="82">
        <f t="shared" si="3"/>
        <v>0.003871005754</v>
      </c>
      <c r="H77" s="27">
        <f t="shared" si="4"/>
        <v>6146.022933</v>
      </c>
      <c r="I77" s="27">
        <f t="shared" si="5"/>
        <v>6148.612636</v>
      </c>
      <c r="J77" s="32">
        <f t="shared" si="6"/>
        <v>-0.002130056018</v>
      </c>
      <c r="K77" s="32">
        <f t="shared" si="7"/>
        <v>0.01094360022</v>
      </c>
      <c r="L77" s="32">
        <f t="shared" si="8"/>
        <v>64.70950808</v>
      </c>
      <c r="M77" s="27">
        <f t="shared" si="9"/>
        <v>5913</v>
      </c>
      <c r="N77" s="27">
        <f t="shared" si="25"/>
        <v>5900.404979</v>
      </c>
      <c r="O77" s="27">
        <f t="shared" si="10"/>
        <v>5887.836786</v>
      </c>
      <c r="P77" s="27">
        <f t="shared" si="11"/>
        <v>5875.295363</v>
      </c>
      <c r="Q77" s="27">
        <f t="shared" si="12"/>
        <v>5862.780655</v>
      </c>
      <c r="R77" s="27">
        <f t="shared" si="13"/>
        <v>5850.292604</v>
      </c>
      <c r="S77" s="27">
        <f t="shared" si="14"/>
        <v>5837.831153</v>
      </c>
      <c r="T77" s="27">
        <f t="shared" si="15"/>
        <v>5825.396246</v>
      </c>
      <c r="U77" s="27">
        <f t="shared" si="16"/>
        <v>5812.987825</v>
      </c>
      <c r="V77" s="27">
        <f t="shared" si="17"/>
        <v>5800.605836</v>
      </c>
      <c r="W77" s="27">
        <f t="shared" si="18"/>
        <v>5788.25022</v>
      </c>
      <c r="X77" s="27">
        <f t="shared" si="19"/>
        <v>5775.920923</v>
      </c>
      <c r="Y77" s="27">
        <f t="shared" si="20"/>
        <v>6738</v>
      </c>
      <c r="Z77" s="27">
        <f t="shared" si="21"/>
        <v>6738</v>
      </c>
      <c r="AA77" s="27">
        <f t="shared" si="22"/>
        <v>6885.506528</v>
      </c>
      <c r="AB77" s="27">
        <f t="shared" si="23"/>
        <v>6959.305583</v>
      </c>
      <c r="AC77" s="27">
        <f t="shared" si="24"/>
        <v>7033.13508</v>
      </c>
    </row>
    <row r="78">
      <c r="A78" s="24">
        <v>2.611606059E9</v>
      </c>
      <c r="B78" s="24" t="s">
        <v>115</v>
      </c>
      <c r="C78" s="24">
        <v>20872.0</v>
      </c>
      <c r="D78" s="24">
        <v>17865.0</v>
      </c>
      <c r="E78" s="24">
        <f t="shared" si="1"/>
        <v>3007</v>
      </c>
      <c r="F78" s="81">
        <f t="shared" si="2"/>
        <v>0.1683179401</v>
      </c>
      <c r="G78" s="82">
        <f t="shared" si="3"/>
        <v>0.01169550445</v>
      </c>
      <c r="H78" s="27">
        <f t="shared" si="4"/>
        <v>18569.03428</v>
      </c>
      <c r="I78" s="27">
        <f t="shared" si="5"/>
        <v>18576.85857</v>
      </c>
      <c r="J78" s="32">
        <f t="shared" si="6"/>
        <v>-0.002130056018</v>
      </c>
      <c r="K78" s="32">
        <f t="shared" si="7"/>
        <v>0.01304814846</v>
      </c>
      <c r="L78" s="32">
        <f t="shared" si="8"/>
        <v>233.1051722</v>
      </c>
      <c r="M78" s="27">
        <f t="shared" si="9"/>
        <v>17865</v>
      </c>
      <c r="N78" s="27">
        <f t="shared" si="25"/>
        <v>17826.94655</v>
      </c>
      <c r="O78" s="27">
        <f t="shared" si="10"/>
        <v>17788.97415</v>
      </c>
      <c r="P78" s="27">
        <f t="shared" si="11"/>
        <v>17751.08264</v>
      </c>
      <c r="Q78" s="27">
        <f t="shared" si="12"/>
        <v>17713.27184</v>
      </c>
      <c r="R78" s="27">
        <f t="shared" si="13"/>
        <v>17675.54158</v>
      </c>
      <c r="S78" s="27">
        <f t="shared" si="14"/>
        <v>17637.89169</v>
      </c>
      <c r="T78" s="27">
        <f t="shared" si="15"/>
        <v>17600.32199</v>
      </c>
      <c r="U78" s="27">
        <f t="shared" si="16"/>
        <v>17562.83232</v>
      </c>
      <c r="V78" s="27">
        <f t="shared" si="17"/>
        <v>17525.4225</v>
      </c>
      <c r="W78" s="27">
        <f t="shared" si="18"/>
        <v>17488.09237</v>
      </c>
      <c r="X78" s="27">
        <f t="shared" si="19"/>
        <v>17450.84175</v>
      </c>
      <c r="Y78" s="27">
        <f t="shared" si="20"/>
        <v>20872</v>
      </c>
      <c r="Z78" s="27">
        <f t="shared" si="21"/>
        <v>20872</v>
      </c>
      <c r="AA78" s="27">
        <f t="shared" si="22"/>
        <v>21416.77661</v>
      </c>
      <c r="AB78" s="27">
        <f t="shared" si="23"/>
        <v>21689.30676</v>
      </c>
      <c r="AC78" s="27">
        <f t="shared" si="24"/>
        <v>21961.93121</v>
      </c>
    </row>
    <row r="79">
      <c r="A79" s="24">
        <v>2.611606006E9</v>
      </c>
      <c r="B79" s="24" t="s">
        <v>116</v>
      </c>
      <c r="C79" s="24">
        <v>568.0</v>
      </c>
      <c r="D79" s="24">
        <v>486.0</v>
      </c>
      <c r="E79" s="24">
        <f t="shared" si="1"/>
        <v>82</v>
      </c>
      <c r="F79" s="81">
        <f t="shared" si="2"/>
        <v>0.1687242798</v>
      </c>
      <c r="G79" s="82">
        <f t="shared" si="3"/>
        <v>0.0003181648565</v>
      </c>
      <c r="H79" s="27">
        <f t="shared" si="4"/>
        <v>505.1525699</v>
      </c>
      <c r="I79" s="27">
        <f t="shared" si="5"/>
        <v>505.3654222</v>
      </c>
      <c r="J79" s="32">
        <f t="shared" si="6"/>
        <v>-0.002130056018</v>
      </c>
      <c r="K79" s="32">
        <f t="shared" si="7"/>
        <v>0.0130775052</v>
      </c>
      <c r="L79" s="32">
        <f t="shared" si="8"/>
        <v>6.355667527</v>
      </c>
      <c r="M79" s="27">
        <f t="shared" si="9"/>
        <v>486</v>
      </c>
      <c r="N79" s="27">
        <f t="shared" si="25"/>
        <v>484.9647928</v>
      </c>
      <c r="O79" s="27">
        <f t="shared" si="10"/>
        <v>483.9317906</v>
      </c>
      <c r="P79" s="27">
        <f t="shared" si="11"/>
        <v>482.9009888</v>
      </c>
      <c r="Q79" s="27">
        <f t="shared" si="12"/>
        <v>481.8723826</v>
      </c>
      <c r="R79" s="27">
        <f t="shared" si="13"/>
        <v>480.8459675</v>
      </c>
      <c r="S79" s="27">
        <f t="shared" si="14"/>
        <v>479.8217386</v>
      </c>
      <c r="T79" s="27">
        <f t="shared" si="15"/>
        <v>478.7996914</v>
      </c>
      <c r="U79" s="27">
        <f t="shared" si="16"/>
        <v>477.7798213</v>
      </c>
      <c r="V79" s="27">
        <f t="shared" si="17"/>
        <v>476.7621235</v>
      </c>
      <c r="W79" s="27">
        <f t="shared" si="18"/>
        <v>475.7465934</v>
      </c>
      <c r="X79" s="27">
        <f t="shared" si="19"/>
        <v>474.7332266</v>
      </c>
      <c r="Y79" s="27">
        <f t="shared" si="20"/>
        <v>568</v>
      </c>
      <c r="Z79" s="27">
        <f t="shared" si="21"/>
        <v>568</v>
      </c>
      <c r="AA79" s="27">
        <f t="shared" si="22"/>
        <v>582.858623</v>
      </c>
      <c r="AB79" s="27">
        <f t="shared" si="23"/>
        <v>590.2917947</v>
      </c>
      <c r="AC79" s="27">
        <f t="shared" si="24"/>
        <v>597.7275324</v>
      </c>
    </row>
    <row r="80">
      <c r="A80" s="24">
        <v>2.611606076E9</v>
      </c>
      <c r="B80" s="24" t="s">
        <v>117</v>
      </c>
      <c r="C80" s="24">
        <v>12051.0</v>
      </c>
      <c r="D80" s="24">
        <v>10236.0</v>
      </c>
      <c r="E80" s="24">
        <f t="shared" si="1"/>
        <v>1815</v>
      </c>
      <c r="F80" s="81">
        <f t="shared" si="2"/>
        <v>0.1773153576</v>
      </c>
      <c r="G80" s="82">
        <f t="shared" si="3"/>
        <v>0.006701101793</v>
      </c>
      <c r="H80" s="27">
        <f t="shared" si="4"/>
        <v>10639.38622</v>
      </c>
      <c r="I80" s="27">
        <f t="shared" si="5"/>
        <v>10643.86926</v>
      </c>
      <c r="J80" s="32">
        <f t="shared" si="6"/>
        <v>-0.002130056018</v>
      </c>
      <c r="K80" s="32">
        <f t="shared" si="7"/>
        <v>0.01369600306</v>
      </c>
      <c r="L80" s="32">
        <f t="shared" si="8"/>
        <v>140.1922873</v>
      </c>
      <c r="M80" s="27">
        <f t="shared" si="9"/>
        <v>10236</v>
      </c>
      <c r="N80" s="27">
        <f t="shared" si="25"/>
        <v>10214.19675</v>
      </c>
      <c r="O80" s="27">
        <f t="shared" si="10"/>
        <v>10192.43994</v>
      </c>
      <c r="P80" s="27">
        <f t="shared" si="11"/>
        <v>10170.72947</v>
      </c>
      <c r="Q80" s="27">
        <f t="shared" si="12"/>
        <v>10149.06524</v>
      </c>
      <c r="R80" s="27">
        <f t="shared" si="13"/>
        <v>10127.44717</v>
      </c>
      <c r="S80" s="27">
        <f t="shared" si="14"/>
        <v>10105.87514</v>
      </c>
      <c r="T80" s="27">
        <f t="shared" si="15"/>
        <v>10084.34906</v>
      </c>
      <c r="U80" s="27">
        <f t="shared" si="16"/>
        <v>10062.86883</v>
      </c>
      <c r="V80" s="27">
        <f t="shared" si="17"/>
        <v>10041.43435</v>
      </c>
      <c r="W80" s="27">
        <f t="shared" si="18"/>
        <v>10020.04554</v>
      </c>
      <c r="X80" s="27">
        <f t="shared" si="19"/>
        <v>9998.702278</v>
      </c>
      <c r="Y80" s="27">
        <f t="shared" si="20"/>
        <v>12051</v>
      </c>
      <c r="Z80" s="27">
        <f t="shared" si="21"/>
        <v>12051</v>
      </c>
      <c r="AA80" s="27">
        <f t="shared" si="22"/>
        <v>12381.15574</v>
      </c>
      <c r="AB80" s="27">
        <f t="shared" si="23"/>
        <v>12546.31551</v>
      </c>
      <c r="AC80" s="27">
        <f t="shared" si="24"/>
        <v>12711.52973</v>
      </c>
    </row>
    <row r="81">
      <c r="A81" s="24">
        <v>2.61160604E9</v>
      </c>
      <c r="B81" s="24" t="s">
        <v>118</v>
      </c>
      <c r="C81" s="24">
        <v>3026.0</v>
      </c>
      <c r="D81" s="24">
        <v>2560.0</v>
      </c>
      <c r="E81" s="24">
        <f t="shared" si="1"/>
        <v>466</v>
      </c>
      <c r="F81" s="81">
        <f t="shared" si="2"/>
        <v>0.18203125</v>
      </c>
      <c r="G81" s="82">
        <f t="shared" si="3"/>
        <v>0.001675930108</v>
      </c>
      <c r="H81" s="27">
        <f t="shared" si="4"/>
        <v>2660.885965</v>
      </c>
      <c r="I81" s="27">
        <f t="shared" si="5"/>
        <v>2662.007162</v>
      </c>
      <c r="J81" s="32">
        <f t="shared" si="6"/>
        <v>-0.002130056018</v>
      </c>
      <c r="K81" s="32">
        <f t="shared" si="7"/>
        <v>0.01403375788</v>
      </c>
      <c r="L81" s="32">
        <f t="shared" si="8"/>
        <v>35.92642016</v>
      </c>
      <c r="M81" s="27">
        <f t="shared" si="9"/>
        <v>2560</v>
      </c>
      <c r="N81" s="27">
        <f t="shared" si="25"/>
        <v>2554.547057</v>
      </c>
      <c r="O81" s="27">
        <f t="shared" si="10"/>
        <v>2549.105728</v>
      </c>
      <c r="P81" s="27">
        <f t="shared" si="11"/>
        <v>2543.67599</v>
      </c>
      <c r="Q81" s="27">
        <f t="shared" si="12"/>
        <v>2538.257818</v>
      </c>
      <c r="R81" s="27">
        <f t="shared" si="13"/>
        <v>2532.851187</v>
      </c>
      <c r="S81" s="27">
        <f t="shared" si="14"/>
        <v>2527.456072</v>
      </c>
      <c r="T81" s="27">
        <f t="shared" si="15"/>
        <v>2522.072449</v>
      </c>
      <c r="U81" s="27">
        <f t="shared" si="16"/>
        <v>2516.700293</v>
      </c>
      <c r="V81" s="27">
        <f t="shared" si="17"/>
        <v>2511.33958</v>
      </c>
      <c r="W81" s="27">
        <f t="shared" si="18"/>
        <v>2505.990286</v>
      </c>
      <c r="X81" s="27">
        <f t="shared" si="19"/>
        <v>2500.652387</v>
      </c>
      <c r="Y81" s="27">
        <f t="shared" si="20"/>
        <v>3026</v>
      </c>
      <c r="Z81" s="27">
        <f t="shared" si="21"/>
        <v>3026</v>
      </c>
      <c r="AA81" s="27">
        <f t="shared" si="22"/>
        <v>3110.946032</v>
      </c>
      <c r="AB81" s="27">
        <f t="shared" si="23"/>
        <v>3153.439613</v>
      </c>
      <c r="AC81" s="27">
        <f t="shared" si="24"/>
        <v>3195.946865</v>
      </c>
    </row>
    <row r="82">
      <c r="A82" s="24">
        <v>2.61160601E9</v>
      </c>
      <c r="B82" s="24" t="s">
        <v>119</v>
      </c>
      <c r="C82" s="24">
        <v>1831.0</v>
      </c>
      <c r="D82" s="24">
        <v>1546.0</v>
      </c>
      <c r="E82" s="24">
        <f t="shared" si="1"/>
        <v>285</v>
      </c>
      <c r="F82" s="81">
        <f t="shared" si="2"/>
        <v>0.1843467012</v>
      </c>
      <c r="G82" s="82">
        <f t="shared" si="3"/>
        <v>0.001012104667</v>
      </c>
      <c r="H82" s="27">
        <f t="shared" si="4"/>
        <v>1606.925665</v>
      </c>
      <c r="I82" s="27">
        <f t="shared" si="5"/>
        <v>1607.602763</v>
      </c>
      <c r="J82" s="32">
        <f t="shared" si="6"/>
        <v>-0.002130056018</v>
      </c>
      <c r="K82" s="32">
        <f t="shared" si="7"/>
        <v>0.01419913987</v>
      </c>
      <c r="L82" s="32">
        <f t="shared" si="8"/>
        <v>21.95187024</v>
      </c>
      <c r="M82" s="27">
        <f t="shared" si="9"/>
        <v>1546</v>
      </c>
      <c r="N82" s="27">
        <f t="shared" si="25"/>
        <v>1542.706933</v>
      </c>
      <c r="O82" s="27">
        <f t="shared" si="10"/>
        <v>1539.420881</v>
      </c>
      <c r="P82" s="27">
        <f t="shared" si="11"/>
        <v>1536.141828</v>
      </c>
      <c r="Q82" s="27">
        <f t="shared" si="12"/>
        <v>1532.86976</v>
      </c>
      <c r="R82" s="27">
        <f t="shared" si="13"/>
        <v>1529.604662</v>
      </c>
      <c r="S82" s="27">
        <f t="shared" si="14"/>
        <v>1526.346518</v>
      </c>
      <c r="T82" s="27">
        <f t="shared" si="15"/>
        <v>1523.095315</v>
      </c>
      <c r="U82" s="27">
        <f t="shared" si="16"/>
        <v>1519.851036</v>
      </c>
      <c r="V82" s="27">
        <f t="shared" si="17"/>
        <v>1516.613669</v>
      </c>
      <c r="W82" s="27">
        <f t="shared" si="18"/>
        <v>1513.383196</v>
      </c>
      <c r="X82" s="27">
        <f t="shared" si="19"/>
        <v>1510.159605</v>
      </c>
      <c r="Y82" s="27">
        <f t="shared" si="20"/>
        <v>1831</v>
      </c>
      <c r="Z82" s="27">
        <f t="shared" si="21"/>
        <v>1831</v>
      </c>
      <c r="AA82" s="27">
        <f t="shared" si="22"/>
        <v>1883.005558</v>
      </c>
      <c r="AB82" s="27">
        <f t="shared" si="23"/>
        <v>1909.02078</v>
      </c>
      <c r="AC82" s="27">
        <f t="shared" si="24"/>
        <v>1935.044275</v>
      </c>
    </row>
    <row r="83">
      <c r="A83" s="24">
        <v>2.611606027E9</v>
      </c>
      <c r="B83" s="24" t="s">
        <v>120</v>
      </c>
      <c r="C83" s="24">
        <v>24306.0</v>
      </c>
      <c r="D83" s="24">
        <v>20292.0</v>
      </c>
      <c r="E83" s="24">
        <f t="shared" si="1"/>
        <v>4014</v>
      </c>
      <c r="F83" s="81">
        <f t="shared" si="2"/>
        <v>0.1978119456</v>
      </c>
      <c r="G83" s="82">
        <f t="shared" si="3"/>
        <v>0.01328436475</v>
      </c>
      <c r="H83" s="27">
        <f t="shared" si="4"/>
        <v>21091.6789</v>
      </c>
      <c r="I83" s="27">
        <f t="shared" si="5"/>
        <v>21100.56614</v>
      </c>
      <c r="J83" s="32">
        <f t="shared" si="6"/>
        <v>-0.002130056018</v>
      </c>
      <c r="K83" s="32">
        <f t="shared" si="7"/>
        <v>0.01515506695</v>
      </c>
      <c r="L83" s="32">
        <f t="shared" si="8"/>
        <v>307.5266186</v>
      </c>
      <c r="M83" s="27">
        <f t="shared" si="9"/>
        <v>20292</v>
      </c>
      <c r="N83" s="27">
        <f t="shared" si="25"/>
        <v>20248.7769</v>
      </c>
      <c r="O83" s="27">
        <f t="shared" si="10"/>
        <v>20205.64587</v>
      </c>
      <c r="P83" s="27">
        <f t="shared" si="11"/>
        <v>20162.60672</v>
      </c>
      <c r="Q83" s="27">
        <f t="shared" si="12"/>
        <v>20119.65923</v>
      </c>
      <c r="R83" s="27">
        <f t="shared" si="13"/>
        <v>20076.80323</v>
      </c>
      <c r="S83" s="27">
        <f t="shared" si="14"/>
        <v>20034.03852</v>
      </c>
      <c r="T83" s="27">
        <f t="shared" si="15"/>
        <v>19991.36489</v>
      </c>
      <c r="U83" s="27">
        <f t="shared" si="16"/>
        <v>19948.78217</v>
      </c>
      <c r="V83" s="27">
        <f t="shared" si="17"/>
        <v>19906.29014</v>
      </c>
      <c r="W83" s="27">
        <f t="shared" si="18"/>
        <v>19863.88863</v>
      </c>
      <c r="X83" s="27">
        <f t="shared" si="19"/>
        <v>19821.57743</v>
      </c>
      <c r="Y83" s="27">
        <f t="shared" si="20"/>
        <v>24306</v>
      </c>
      <c r="Z83" s="27">
        <f t="shared" si="21"/>
        <v>24306</v>
      </c>
      <c r="AA83" s="27">
        <f t="shared" si="22"/>
        <v>25042.82839</v>
      </c>
      <c r="AB83" s="27">
        <f t="shared" si="23"/>
        <v>25411.40778</v>
      </c>
      <c r="AC83" s="27">
        <f t="shared" si="24"/>
        <v>25780.09697</v>
      </c>
    </row>
    <row r="84">
      <c r="A84" s="24">
        <v>2.611606057E9</v>
      </c>
      <c r="B84" s="24" t="s">
        <v>121</v>
      </c>
      <c r="C84" s="24">
        <v>5542.0</v>
      </c>
      <c r="D84" s="24">
        <v>4614.0</v>
      </c>
      <c r="E84" s="24">
        <f t="shared" si="1"/>
        <v>928</v>
      </c>
      <c r="F84" s="81">
        <f t="shared" si="2"/>
        <v>0.2011270048</v>
      </c>
      <c r="G84" s="82">
        <f t="shared" si="3"/>
        <v>0.003020602156</v>
      </c>
      <c r="H84" s="27">
        <f t="shared" si="4"/>
        <v>4795.831188</v>
      </c>
      <c r="I84" s="27">
        <f t="shared" si="5"/>
        <v>4797.851971</v>
      </c>
      <c r="J84" s="32">
        <f t="shared" si="6"/>
        <v>-0.002130056018</v>
      </c>
      <c r="K84" s="32">
        <f t="shared" si="7"/>
        <v>0.01538889872</v>
      </c>
      <c r="L84" s="32">
        <f t="shared" si="8"/>
        <v>71.00437869</v>
      </c>
      <c r="M84" s="27">
        <f t="shared" si="9"/>
        <v>4614</v>
      </c>
      <c r="N84" s="27">
        <f t="shared" si="25"/>
        <v>4604.171922</v>
      </c>
      <c r="O84" s="27">
        <f t="shared" si="10"/>
        <v>4594.364777</v>
      </c>
      <c r="P84" s="27">
        <f t="shared" si="11"/>
        <v>4584.578523</v>
      </c>
      <c r="Q84" s="27">
        <f t="shared" si="12"/>
        <v>4574.813114</v>
      </c>
      <c r="R84" s="27">
        <f t="shared" si="13"/>
        <v>4565.068506</v>
      </c>
      <c r="S84" s="27">
        <f t="shared" si="14"/>
        <v>4555.344654</v>
      </c>
      <c r="T84" s="27">
        <f t="shared" si="15"/>
        <v>4545.641515</v>
      </c>
      <c r="U84" s="27">
        <f t="shared" si="16"/>
        <v>4535.959044</v>
      </c>
      <c r="V84" s="27">
        <f t="shared" si="17"/>
        <v>4526.297197</v>
      </c>
      <c r="W84" s="27">
        <f t="shared" si="18"/>
        <v>4516.65593</v>
      </c>
      <c r="X84" s="27">
        <f t="shared" si="19"/>
        <v>4507.0352</v>
      </c>
      <c r="Y84" s="27">
        <f t="shared" si="20"/>
        <v>5542</v>
      </c>
      <c r="Z84" s="27">
        <f t="shared" si="21"/>
        <v>5542</v>
      </c>
      <c r="AA84" s="27">
        <f t="shared" si="22"/>
        <v>5712.595698</v>
      </c>
      <c r="AB84" s="27">
        <f t="shared" si="23"/>
        <v>5797.931211</v>
      </c>
      <c r="AC84" s="27">
        <f t="shared" si="24"/>
        <v>5883.291762</v>
      </c>
    </row>
    <row r="85">
      <c r="A85" s="24">
        <v>2.611606037E9</v>
      </c>
      <c r="B85" s="24" t="s">
        <v>122</v>
      </c>
      <c r="C85" s="24">
        <v>89.0</v>
      </c>
      <c r="D85" s="24">
        <v>72.0</v>
      </c>
      <c r="E85" s="24">
        <f t="shared" si="1"/>
        <v>17</v>
      </c>
      <c r="F85" s="81">
        <f t="shared" si="2"/>
        <v>0.2361111111</v>
      </c>
      <c r="G85" s="82">
        <f t="shared" si="3"/>
        <v>0.0000471355343</v>
      </c>
      <c r="H85" s="27">
        <f t="shared" si="4"/>
        <v>74.83741776</v>
      </c>
      <c r="I85" s="27">
        <f t="shared" si="5"/>
        <v>74.86895143</v>
      </c>
      <c r="J85" s="32">
        <f t="shared" si="6"/>
        <v>-0.002130056018</v>
      </c>
      <c r="K85" s="32">
        <f t="shared" si="7"/>
        <v>0.017821122</v>
      </c>
      <c r="L85" s="32">
        <f t="shared" si="8"/>
        <v>1.283120784</v>
      </c>
      <c r="M85" s="27">
        <f t="shared" si="9"/>
        <v>72</v>
      </c>
      <c r="N85" s="27">
        <f t="shared" si="25"/>
        <v>71.84663597</v>
      </c>
      <c r="O85" s="27">
        <f t="shared" si="10"/>
        <v>71.69359861</v>
      </c>
      <c r="P85" s="27">
        <f t="shared" si="11"/>
        <v>71.54088723</v>
      </c>
      <c r="Q85" s="27">
        <f t="shared" si="12"/>
        <v>71.38850113</v>
      </c>
      <c r="R85" s="27">
        <f t="shared" si="13"/>
        <v>71.23643962</v>
      </c>
      <c r="S85" s="27">
        <f t="shared" si="14"/>
        <v>71.08470202</v>
      </c>
      <c r="T85" s="27">
        <f t="shared" si="15"/>
        <v>70.93328762</v>
      </c>
      <c r="U85" s="27">
        <f t="shared" si="16"/>
        <v>70.78219574</v>
      </c>
      <c r="V85" s="27">
        <f t="shared" si="17"/>
        <v>70.6314257</v>
      </c>
      <c r="W85" s="27">
        <f t="shared" si="18"/>
        <v>70.48097681</v>
      </c>
      <c r="X85" s="27">
        <f t="shared" si="19"/>
        <v>70.33084838</v>
      </c>
      <c r="Y85" s="27">
        <f t="shared" si="20"/>
        <v>89</v>
      </c>
      <c r="Z85" s="27">
        <f t="shared" si="21"/>
        <v>89</v>
      </c>
      <c r="AA85" s="27">
        <f t="shared" si="22"/>
        <v>92.17256352</v>
      </c>
      <c r="AB85" s="27">
        <f t="shared" si="23"/>
        <v>93.75945013</v>
      </c>
      <c r="AC85" s="27">
        <f t="shared" si="24"/>
        <v>95.34673882</v>
      </c>
    </row>
    <row r="86">
      <c r="A86" s="24">
        <v>2.611606025E9</v>
      </c>
      <c r="B86" s="24" t="s">
        <v>123</v>
      </c>
      <c r="C86" s="24">
        <v>15249.0</v>
      </c>
      <c r="D86" s="24">
        <v>11770.0</v>
      </c>
      <c r="E86" s="24">
        <f t="shared" si="1"/>
        <v>3479</v>
      </c>
      <c r="F86" s="81">
        <f t="shared" si="2"/>
        <v>0.2955819881</v>
      </c>
      <c r="G86" s="82">
        <f t="shared" si="3"/>
        <v>0.007705350538</v>
      </c>
      <c r="H86" s="27">
        <f t="shared" si="4"/>
        <v>12233.83899</v>
      </c>
      <c r="I86" s="27">
        <f t="shared" si="5"/>
        <v>12238.99387</v>
      </c>
      <c r="J86" s="32">
        <f t="shared" si="6"/>
        <v>-0.002130056018</v>
      </c>
      <c r="K86" s="32">
        <f t="shared" si="7"/>
        <v>0.02181453273</v>
      </c>
      <c r="L86" s="32">
        <f t="shared" si="8"/>
        <v>256.7570502</v>
      </c>
      <c r="M86" s="27">
        <f t="shared" si="9"/>
        <v>11770</v>
      </c>
      <c r="N86" s="27">
        <f t="shared" si="25"/>
        <v>11744.92924</v>
      </c>
      <c r="O86" s="27">
        <f t="shared" si="10"/>
        <v>11719.91188</v>
      </c>
      <c r="P86" s="27">
        <f t="shared" si="11"/>
        <v>11694.94781</v>
      </c>
      <c r="Q86" s="27">
        <f t="shared" si="12"/>
        <v>11670.03692</v>
      </c>
      <c r="R86" s="27">
        <f t="shared" si="13"/>
        <v>11645.17909</v>
      </c>
      <c r="S86" s="27">
        <f t="shared" si="14"/>
        <v>11620.3742</v>
      </c>
      <c r="T86" s="27">
        <f t="shared" si="15"/>
        <v>11595.62216</v>
      </c>
      <c r="U86" s="27">
        <f t="shared" si="16"/>
        <v>11570.92283</v>
      </c>
      <c r="V86" s="27">
        <f t="shared" si="17"/>
        <v>11546.27612</v>
      </c>
      <c r="W86" s="27">
        <f t="shared" si="18"/>
        <v>11521.6819</v>
      </c>
      <c r="X86" s="27">
        <f t="shared" si="19"/>
        <v>11497.14008</v>
      </c>
      <c r="Y86" s="27">
        <f t="shared" si="20"/>
        <v>15249</v>
      </c>
      <c r="Z86" s="27">
        <f t="shared" si="21"/>
        <v>15249</v>
      </c>
      <c r="AA86" s="27">
        <f t="shared" si="22"/>
        <v>15914.36881</v>
      </c>
      <c r="AB86" s="27">
        <f t="shared" si="23"/>
        <v>16247.15684</v>
      </c>
      <c r="AC86" s="27">
        <f t="shared" si="24"/>
        <v>16580.01377</v>
      </c>
    </row>
    <row r="87">
      <c r="A87" s="24">
        <v>2.61160607E9</v>
      </c>
      <c r="B87" s="24" t="s">
        <v>124</v>
      </c>
      <c r="C87" s="24">
        <v>13813.0</v>
      </c>
      <c r="D87" s="24">
        <v>9622.0</v>
      </c>
      <c r="E87" s="24">
        <f t="shared" si="1"/>
        <v>4191</v>
      </c>
      <c r="F87" s="81">
        <f t="shared" si="2"/>
        <v>0.4355643317</v>
      </c>
      <c r="G87" s="82">
        <f t="shared" si="3"/>
        <v>0.006299140431</v>
      </c>
      <c r="H87" s="27">
        <f t="shared" si="4"/>
        <v>10001.18936</v>
      </c>
      <c r="I87" s="27">
        <f t="shared" si="5"/>
        <v>10005.40348</v>
      </c>
      <c r="J87" s="32">
        <f t="shared" si="6"/>
        <v>-0.002130056018</v>
      </c>
      <c r="K87" s="32">
        <f t="shared" si="7"/>
        <v>0.03058833294</v>
      </c>
      <c r="L87" s="32">
        <f t="shared" si="8"/>
        <v>294.3209396</v>
      </c>
      <c r="M87" s="27">
        <f t="shared" si="9"/>
        <v>9622</v>
      </c>
      <c r="N87" s="27">
        <f t="shared" si="25"/>
        <v>9601.504601</v>
      </c>
      <c r="O87" s="27">
        <f t="shared" si="10"/>
        <v>9581.052858</v>
      </c>
      <c r="P87" s="27">
        <f t="shared" si="11"/>
        <v>9560.644679</v>
      </c>
      <c r="Q87" s="27">
        <f t="shared" si="12"/>
        <v>9540.27997</v>
      </c>
      <c r="R87" s="27">
        <f t="shared" si="13"/>
        <v>9519.95864</v>
      </c>
      <c r="S87" s="27">
        <f t="shared" si="14"/>
        <v>9499.680594</v>
      </c>
      <c r="T87" s="27">
        <f t="shared" si="15"/>
        <v>9479.445743</v>
      </c>
      <c r="U87" s="27">
        <f t="shared" si="16"/>
        <v>9459.253992</v>
      </c>
      <c r="V87" s="27">
        <f t="shared" si="17"/>
        <v>9439.105251</v>
      </c>
      <c r="W87" s="27">
        <f t="shared" si="18"/>
        <v>9418.999428</v>
      </c>
      <c r="X87" s="27">
        <f t="shared" si="19"/>
        <v>9398.936432</v>
      </c>
      <c r="Y87" s="27">
        <f t="shared" si="20"/>
        <v>13813</v>
      </c>
      <c r="Z87" s="27">
        <f t="shared" si="21"/>
        <v>13813</v>
      </c>
      <c r="AA87" s="27">
        <f t="shared" si="22"/>
        <v>14658.09596</v>
      </c>
      <c r="AB87" s="27">
        <f t="shared" si="23"/>
        <v>15080.73781</v>
      </c>
      <c r="AC87" s="27">
        <f t="shared" si="24"/>
        <v>15503.44207</v>
      </c>
    </row>
    <row r="88">
      <c r="A88" s="24">
        <v>2.611606026E9</v>
      </c>
      <c r="B88" s="24" t="s">
        <v>125</v>
      </c>
      <c r="C88" s="24">
        <v>1566.0</v>
      </c>
      <c r="D88" s="24">
        <v>1058.0</v>
      </c>
      <c r="E88" s="24">
        <f t="shared" si="1"/>
        <v>508</v>
      </c>
      <c r="F88" s="81">
        <f t="shared" si="2"/>
        <v>0.4801512287</v>
      </c>
      <c r="G88" s="82">
        <f t="shared" si="3"/>
        <v>0.0006926304901</v>
      </c>
      <c r="H88" s="27">
        <f t="shared" si="4"/>
        <v>1099.694278</v>
      </c>
      <c r="I88" s="27">
        <f t="shared" si="5"/>
        <v>1100.157647</v>
      </c>
      <c r="J88" s="32">
        <f t="shared" si="6"/>
        <v>-0.002130056018</v>
      </c>
      <c r="K88" s="32">
        <f t="shared" si="7"/>
        <v>0.0332185011</v>
      </c>
      <c r="L88" s="32">
        <f t="shared" si="8"/>
        <v>35.14517416</v>
      </c>
      <c r="M88" s="27">
        <f t="shared" si="9"/>
        <v>1058</v>
      </c>
      <c r="N88" s="27">
        <f t="shared" si="25"/>
        <v>1055.746401</v>
      </c>
      <c r="O88" s="27">
        <f t="shared" si="10"/>
        <v>1053.497602</v>
      </c>
      <c r="P88" s="27">
        <f t="shared" si="11"/>
        <v>1051.253593</v>
      </c>
      <c r="Q88" s="27">
        <f t="shared" si="12"/>
        <v>1049.014364</v>
      </c>
      <c r="R88" s="27">
        <f t="shared" si="13"/>
        <v>1046.779904</v>
      </c>
      <c r="S88" s="27">
        <f t="shared" si="14"/>
        <v>1044.550205</v>
      </c>
      <c r="T88" s="27">
        <f t="shared" si="15"/>
        <v>1042.325254</v>
      </c>
      <c r="U88" s="27">
        <f t="shared" si="16"/>
        <v>1040.105043</v>
      </c>
      <c r="V88" s="27">
        <f t="shared" si="17"/>
        <v>1037.889561</v>
      </c>
      <c r="W88" s="27">
        <f t="shared" si="18"/>
        <v>1035.678798</v>
      </c>
      <c r="X88" s="27">
        <f t="shared" si="19"/>
        <v>1033.472744</v>
      </c>
      <c r="Y88" s="27">
        <f t="shared" si="20"/>
        <v>1566</v>
      </c>
      <c r="Z88" s="27">
        <f t="shared" si="21"/>
        <v>1566</v>
      </c>
      <c r="AA88" s="27">
        <f t="shared" si="22"/>
        <v>1670.047451</v>
      </c>
      <c r="AB88" s="27">
        <f t="shared" si="23"/>
        <v>1722.081818</v>
      </c>
      <c r="AC88" s="27">
        <f t="shared" si="24"/>
        <v>1774.123261</v>
      </c>
    </row>
    <row r="89">
      <c r="A89" s="24">
        <v>2.611606022E9</v>
      </c>
      <c r="B89" s="24" t="s">
        <v>126</v>
      </c>
      <c r="C89" s="24">
        <v>2382.0</v>
      </c>
      <c r="D89" s="24">
        <v>1554.0</v>
      </c>
      <c r="E89" s="24">
        <f t="shared" si="1"/>
        <v>828</v>
      </c>
      <c r="F89" s="81">
        <f t="shared" si="2"/>
        <v>0.5328185328</v>
      </c>
      <c r="G89" s="82">
        <f t="shared" si="3"/>
        <v>0.001017341949</v>
      </c>
      <c r="H89" s="27">
        <f t="shared" si="4"/>
        <v>1615.240933</v>
      </c>
      <c r="I89" s="27">
        <f t="shared" si="5"/>
        <v>1615.921535</v>
      </c>
      <c r="J89" s="32">
        <f t="shared" si="6"/>
        <v>-0.002130056018</v>
      </c>
      <c r="K89" s="32">
        <f t="shared" si="7"/>
        <v>0.0362333415</v>
      </c>
      <c r="L89" s="32">
        <f t="shared" si="8"/>
        <v>56.30661269</v>
      </c>
      <c r="M89" s="27">
        <f t="shared" si="9"/>
        <v>1554</v>
      </c>
      <c r="N89" s="27">
        <f t="shared" si="25"/>
        <v>1550.689893</v>
      </c>
      <c r="O89" s="27">
        <f t="shared" si="10"/>
        <v>1547.386837</v>
      </c>
      <c r="P89" s="27">
        <f t="shared" si="11"/>
        <v>1544.090816</v>
      </c>
      <c r="Q89" s="27">
        <f t="shared" si="12"/>
        <v>1540.801816</v>
      </c>
      <c r="R89" s="27">
        <f t="shared" si="13"/>
        <v>1537.519822</v>
      </c>
      <c r="S89" s="27">
        <f t="shared" si="14"/>
        <v>1534.244819</v>
      </c>
      <c r="T89" s="27">
        <f t="shared" si="15"/>
        <v>1530.976791</v>
      </c>
      <c r="U89" s="27">
        <f t="shared" si="16"/>
        <v>1527.715725</v>
      </c>
      <c r="V89" s="27">
        <f t="shared" si="17"/>
        <v>1524.461605</v>
      </c>
      <c r="W89" s="27">
        <f t="shared" si="18"/>
        <v>1521.214416</v>
      </c>
      <c r="X89" s="27">
        <f t="shared" si="19"/>
        <v>1517.974144</v>
      </c>
      <c r="Y89" s="27">
        <f t="shared" si="20"/>
        <v>2382</v>
      </c>
      <c r="Z89" s="27">
        <f t="shared" si="21"/>
        <v>2382</v>
      </c>
      <c r="AA89" s="27">
        <f t="shared" si="22"/>
        <v>2554.626446</v>
      </c>
      <c r="AB89" s="27">
        <f t="shared" si="23"/>
        <v>2640.955858</v>
      </c>
      <c r="AC89" s="27">
        <f t="shared" si="24"/>
        <v>2727.296031</v>
      </c>
    </row>
    <row r="90">
      <c r="A90" s="24">
        <v>2.611606083E9</v>
      </c>
      <c r="B90" s="24" t="s">
        <v>127</v>
      </c>
      <c r="C90" s="24">
        <v>12768.0</v>
      </c>
      <c r="D90" s="24">
        <v>7677.0</v>
      </c>
      <c r="E90" s="24">
        <f t="shared" si="1"/>
        <v>5091</v>
      </c>
      <c r="F90" s="81">
        <f t="shared" si="2"/>
        <v>0.6631496678</v>
      </c>
      <c r="G90" s="82">
        <f t="shared" si="3"/>
        <v>0.005025826345</v>
      </c>
      <c r="H90" s="27">
        <f t="shared" si="4"/>
        <v>7979.539668</v>
      </c>
      <c r="I90" s="27">
        <f t="shared" si="5"/>
        <v>7982.901946</v>
      </c>
      <c r="J90" s="32">
        <f t="shared" si="6"/>
        <v>-0.002130056018</v>
      </c>
      <c r="K90" s="32">
        <f t="shared" si="7"/>
        <v>0.04330417294</v>
      </c>
      <c r="L90" s="32">
        <f t="shared" si="8"/>
        <v>332.4461357</v>
      </c>
      <c r="M90" s="27">
        <f t="shared" si="9"/>
        <v>7677</v>
      </c>
      <c r="N90" s="27">
        <f t="shared" si="25"/>
        <v>7660.64756</v>
      </c>
      <c r="O90" s="27">
        <f t="shared" si="10"/>
        <v>7644.329952</v>
      </c>
      <c r="P90" s="27">
        <f t="shared" si="11"/>
        <v>7628.047101</v>
      </c>
      <c r="Q90" s="27">
        <f t="shared" si="12"/>
        <v>7611.798933</v>
      </c>
      <c r="R90" s="27">
        <f t="shared" si="13"/>
        <v>7595.585375</v>
      </c>
      <c r="S90" s="27">
        <f t="shared" si="14"/>
        <v>7579.406352</v>
      </c>
      <c r="T90" s="27">
        <f t="shared" si="15"/>
        <v>7563.261792</v>
      </c>
      <c r="U90" s="27">
        <f t="shared" si="16"/>
        <v>7547.151621</v>
      </c>
      <c r="V90" s="27">
        <f t="shared" si="17"/>
        <v>7531.075765</v>
      </c>
      <c r="W90" s="27">
        <f t="shared" si="18"/>
        <v>7515.034152</v>
      </c>
      <c r="X90" s="27">
        <f t="shared" si="19"/>
        <v>7499.026708</v>
      </c>
      <c r="Y90" s="27">
        <f t="shared" si="20"/>
        <v>12768</v>
      </c>
      <c r="Z90" s="27">
        <f t="shared" si="21"/>
        <v>12768</v>
      </c>
      <c r="AA90" s="27">
        <f t="shared" si="22"/>
        <v>13873.87329</v>
      </c>
      <c r="AB90" s="27">
        <f t="shared" si="23"/>
        <v>14426.89671</v>
      </c>
      <c r="AC90" s="27">
        <f t="shared" si="24"/>
        <v>14979.97781</v>
      </c>
    </row>
    <row r="91">
      <c r="A91" s="24">
        <v>2.611606038E9</v>
      </c>
      <c r="B91" s="24" t="s">
        <v>128</v>
      </c>
      <c r="C91" s="24">
        <v>11095.0</v>
      </c>
      <c r="D91" s="24">
        <v>6287.0</v>
      </c>
      <c r="E91" s="24">
        <f t="shared" si="1"/>
        <v>4808</v>
      </c>
      <c r="F91" s="81">
        <f t="shared" si="2"/>
        <v>0.7647526642</v>
      </c>
      <c r="G91" s="82">
        <f t="shared" si="3"/>
        <v>0.004115848669</v>
      </c>
      <c r="H91" s="27">
        <f t="shared" si="4"/>
        <v>6534.761742</v>
      </c>
      <c r="I91" s="27">
        <f t="shared" si="5"/>
        <v>6537.515245</v>
      </c>
      <c r="J91" s="32">
        <f t="shared" si="6"/>
        <v>-0.002130056018</v>
      </c>
      <c r="K91" s="32">
        <f t="shared" si="7"/>
        <v>0.04847236284</v>
      </c>
      <c r="L91" s="32">
        <f t="shared" si="8"/>
        <v>304.7457452</v>
      </c>
      <c r="M91" s="27">
        <f t="shared" si="9"/>
        <v>6287</v>
      </c>
      <c r="N91" s="27">
        <f t="shared" si="25"/>
        <v>6273.608338</v>
      </c>
      <c r="O91" s="27">
        <f t="shared" si="10"/>
        <v>6260.245201</v>
      </c>
      <c r="P91" s="27">
        <f t="shared" si="11"/>
        <v>6246.910528</v>
      </c>
      <c r="Q91" s="27">
        <f t="shared" si="12"/>
        <v>6233.604258</v>
      </c>
      <c r="R91" s="27">
        <f t="shared" si="13"/>
        <v>6220.326332</v>
      </c>
      <c r="S91" s="27">
        <f t="shared" si="14"/>
        <v>6207.076689</v>
      </c>
      <c r="T91" s="27">
        <f t="shared" si="15"/>
        <v>6193.855267</v>
      </c>
      <c r="U91" s="27">
        <f t="shared" si="16"/>
        <v>6180.662009</v>
      </c>
      <c r="V91" s="27">
        <f t="shared" si="17"/>
        <v>6167.496852</v>
      </c>
      <c r="W91" s="27">
        <f t="shared" si="18"/>
        <v>6154.359739</v>
      </c>
      <c r="X91" s="27">
        <f t="shared" si="19"/>
        <v>6141.250608</v>
      </c>
      <c r="Y91" s="27">
        <f t="shared" si="20"/>
        <v>11095</v>
      </c>
      <c r="Z91" s="27">
        <f t="shared" si="21"/>
        <v>11095</v>
      </c>
      <c r="AA91" s="27">
        <f t="shared" si="22"/>
        <v>12170.65207</v>
      </c>
      <c r="AB91" s="27">
        <f t="shared" si="23"/>
        <v>12708.55351</v>
      </c>
      <c r="AC91" s="27">
        <f t="shared" si="24"/>
        <v>13246.50507</v>
      </c>
    </row>
    <row r="92">
      <c r="A92" s="24">
        <v>2.611606017E9</v>
      </c>
      <c r="B92" s="24" t="s">
        <v>129</v>
      </c>
      <c r="C92" s="24">
        <v>7271.0</v>
      </c>
      <c r="D92" s="24">
        <v>4075.0</v>
      </c>
      <c r="E92" s="24">
        <f t="shared" si="1"/>
        <v>3196</v>
      </c>
      <c r="F92" s="81">
        <f t="shared" si="2"/>
        <v>0.7842944785</v>
      </c>
      <c r="G92" s="82">
        <f t="shared" si="3"/>
        <v>0.002667740309</v>
      </c>
      <c r="H92" s="27">
        <f t="shared" si="4"/>
        <v>4235.589963</v>
      </c>
      <c r="I92" s="27">
        <f t="shared" si="5"/>
        <v>4237.374682</v>
      </c>
      <c r="J92" s="32">
        <f t="shared" si="6"/>
        <v>-0.002130056018</v>
      </c>
      <c r="K92" s="32">
        <f t="shared" si="7"/>
        <v>0.0494349998</v>
      </c>
      <c r="L92" s="32">
        <f t="shared" si="8"/>
        <v>201.4476242</v>
      </c>
      <c r="M92" s="27">
        <f t="shared" si="9"/>
        <v>4075</v>
      </c>
      <c r="N92" s="27">
        <f t="shared" si="25"/>
        <v>4066.320022</v>
      </c>
      <c r="O92" s="27">
        <f t="shared" si="10"/>
        <v>4057.658532</v>
      </c>
      <c r="P92" s="27">
        <f t="shared" si="11"/>
        <v>4049.015492</v>
      </c>
      <c r="Q92" s="27">
        <f t="shared" si="12"/>
        <v>4040.390863</v>
      </c>
      <c r="R92" s="27">
        <f t="shared" si="13"/>
        <v>4031.784604</v>
      </c>
      <c r="S92" s="27">
        <f t="shared" si="14"/>
        <v>4023.196677</v>
      </c>
      <c r="T92" s="27">
        <f t="shared" si="15"/>
        <v>4014.627042</v>
      </c>
      <c r="U92" s="27">
        <f t="shared" si="16"/>
        <v>4006.075662</v>
      </c>
      <c r="V92" s="27">
        <f t="shared" si="17"/>
        <v>3997.542496</v>
      </c>
      <c r="W92" s="27">
        <f t="shared" si="18"/>
        <v>3989.027507</v>
      </c>
      <c r="X92" s="27">
        <f t="shared" si="19"/>
        <v>3980.530655</v>
      </c>
      <c r="Y92" s="27">
        <f t="shared" si="20"/>
        <v>7271</v>
      </c>
      <c r="Z92" s="27">
        <f t="shared" si="21"/>
        <v>7271</v>
      </c>
      <c r="AA92" s="27">
        <f t="shared" si="22"/>
        <v>7989.916757</v>
      </c>
      <c r="AB92" s="27">
        <f t="shared" si="23"/>
        <v>8349.424549</v>
      </c>
      <c r="AC92" s="27">
        <f t="shared" si="24"/>
        <v>8708.96519</v>
      </c>
    </row>
    <row r="93">
      <c r="A93" s="24">
        <v>2.611606005E9</v>
      </c>
      <c r="B93" s="24" t="s">
        <v>130</v>
      </c>
      <c r="C93" s="24">
        <v>447.0</v>
      </c>
      <c r="D93" s="24">
        <v>246.0</v>
      </c>
      <c r="E93" s="24">
        <f t="shared" si="1"/>
        <v>201</v>
      </c>
      <c r="F93" s="81">
        <f t="shared" si="2"/>
        <v>0.8170731707</v>
      </c>
      <c r="G93" s="82">
        <f t="shared" si="3"/>
        <v>0.0001610464089</v>
      </c>
      <c r="H93" s="27">
        <f t="shared" si="4"/>
        <v>255.6945107</v>
      </c>
      <c r="I93" s="27">
        <f t="shared" si="5"/>
        <v>255.8022507</v>
      </c>
      <c r="J93" s="32">
        <f t="shared" si="6"/>
        <v>-0.002130056018</v>
      </c>
      <c r="K93" s="32">
        <f t="shared" si="7"/>
        <v>0.05102819835</v>
      </c>
      <c r="L93" s="32">
        <f t="shared" si="8"/>
        <v>12.55293679</v>
      </c>
      <c r="M93" s="27">
        <f t="shared" si="9"/>
        <v>246</v>
      </c>
      <c r="N93" s="27">
        <f t="shared" si="25"/>
        <v>245.4760062</v>
      </c>
      <c r="O93" s="27">
        <f t="shared" si="10"/>
        <v>244.9531286</v>
      </c>
      <c r="P93" s="27">
        <f t="shared" si="11"/>
        <v>244.4313647</v>
      </c>
      <c r="Q93" s="27">
        <f t="shared" si="12"/>
        <v>243.9107122</v>
      </c>
      <c r="R93" s="27">
        <f t="shared" si="13"/>
        <v>243.3911687</v>
      </c>
      <c r="S93" s="27">
        <f t="shared" si="14"/>
        <v>242.8727319</v>
      </c>
      <c r="T93" s="27">
        <f t="shared" si="15"/>
        <v>242.3553994</v>
      </c>
      <c r="U93" s="27">
        <f t="shared" si="16"/>
        <v>241.8391688</v>
      </c>
      <c r="V93" s="27">
        <f t="shared" si="17"/>
        <v>241.3240378</v>
      </c>
      <c r="W93" s="27">
        <f t="shared" si="18"/>
        <v>240.8100041</v>
      </c>
      <c r="X93" s="27">
        <f t="shared" si="19"/>
        <v>240.2970653</v>
      </c>
      <c r="Y93" s="27">
        <f t="shared" si="20"/>
        <v>447</v>
      </c>
      <c r="Z93" s="27">
        <f t="shared" si="21"/>
        <v>447</v>
      </c>
      <c r="AA93" s="27">
        <f t="shared" si="22"/>
        <v>492.6212374</v>
      </c>
      <c r="AB93" s="27">
        <f t="shared" si="23"/>
        <v>515.434894</v>
      </c>
      <c r="AC93" s="27">
        <f t="shared" si="24"/>
        <v>538.25057</v>
      </c>
    </row>
    <row r="94">
      <c r="A94" s="24">
        <v>2.611606074E9</v>
      </c>
      <c r="B94" s="24" t="s">
        <v>131</v>
      </c>
      <c r="C94" s="24">
        <v>1819.0</v>
      </c>
      <c r="D94" s="24">
        <v>766.0</v>
      </c>
      <c r="E94" s="24">
        <f t="shared" si="1"/>
        <v>1053</v>
      </c>
      <c r="F94" s="81">
        <f t="shared" si="2"/>
        <v>1.374673629</v>
      </c>
      <c r="G94" s="82">
        <f t="shared" si="3"/>
        <v>0.0005014697121</v>
      </c>
      <c r="H94" s="27">
        <f t="shared" si="4"/>
        <v>796.1869723</v>
      </c>
      <c r="I94" s="27">
        <f t="shared" si="5"/>
        <v>796.5224555</v>
      </c>
      <c r="J94" s="32">
        <f t="shared" si="6"/>
        <v>-0.002130056018</v>
      </c>
      <c r="K94" s="32">
        <f t="shared" si="7"/>
        <v>0.07473236458</v>
      </c>
      <c r="L94" s="32">
        <f t="shared" si="8"/>
        <v>57.24499127</v>
      </c>
      <c r="M94" s="27">
        <f t="shared" si="9"/>
        <v>766</v>
      </c>
      <c r="N94" s="27">
        <f t="shared" si="25"/>
        <v>764.3683771</v>
      </c>
      <c r="O94" s="27">
        <f t="shared" si="10"/>
        <v>762.7402296</v>
      </c>
      <c r="P94" s="27">
        <f t="shared" si="11"/>
        <v>761.1155502</v>
      </c>
      <c r="Q94" s="27">
        <f t="shared" si="12"/>
        <v>759.4943315</v>
      </c>
      <c r="R94" s="27">
        <f t="shared" si="13"/>
        <v>757.876566</v>
      </c>
      <c r="S94" s="27">
        <f t="shared" si="14"/>
        <v>756.2622464</v>
      </c>
      <c r="T94" s="27">
        <f t="shared" si="15"/>
        <v>754.6513655</v>
      </c>
      <c r="U94" s="27">
        <f t="shared" si="16"/>
        <v>753.0439158</v>
      </c>
      <c r="V94" s="27">
        <f t="shared" si="17"/>
        <v>751.4398901</v>
      </c>
      <c r="W94" s="27">
        <f t="shared" si="18"/>
        <v>749.839281</v>
      </c>
      <c r="X94" s="27">
        <f t="shared" si="19"/>
        <v>748.2420814</v>
      </c>
      <c r="Y94" s="27">
        <f t="shared" si="20"/>
        <v>1819</v>
      </c>
      <c r="Z94" s="27">
        <f t="shared" si="21"/>
        <v>1819</v>
      </c>
      <c r="AA94" s="27">
        <f t="shared" si="22"/>
        <v>2090.884595</v>
      </c>
      <c r="AB94" s="27">
        <f t="shared" si="23"/>
        <v>2226.839255</v>
      </c>
      <c r="AC94" s="27">
        <f t="shared" si="24"/>
        <v>2362.802133</v>
      </c>
    </row>
    <row r="95">
      <c r="A95" s="24">
        <v>2.611606001E9</v>
      </c>
      <c r="B95" s="24" t="s">
        <v>132</v>
      </c>
      <c r="C95" s="24">
        <v>541.0</v>
      </c>
      <c r="D95" s="24">
        <v>0.0</v>
      </c>
      <c r="E95" s="24">
        <f t="shared" si="1"/>
        <v>541</v>
      </c>
      <c r="F95" s="81" t="str">
        <f t="shared" si="2"/>
        <v>#DIV/0!</v>
      </c>
      <c r="G95" s="82">
        <f t="shared" si="3"/>
        <v>0</v>
      </c>
      <c r="H95" s="27">
        <f t="shared" si="4"/>
        <v>0</v>
      </c>
      <c r="I95" s="27">
        <f t="shared" si="5"/>
        <v>0</v>
      </c>
      <c r="J95" s="32">
        <f t="shared" si="6"/>
        <v>-0.002130056018</v>
      </c>
      <c r="K95" s="32">
        <v>0.0</v>
      </c>
      <c r="L95" s="32">
        <f t="shared" si="8"/>
        <v>0</v>
      </c>
      <c r="M95" s="27">
        <f t="shared" si="9"/>
        <v>0</v>
      </c>
      <c r="N95" s="27">
        <f t="shared" si="25"/>
        <v>0</v>
      </c>
      <c r="O95" s="27">
        <f t="shared" si="10"/>
        <v>0</v>
      </c>
      <c r="P95" s="27">
        <f t="shared" si="11"/>
        <v>0</v>
      </c>
      <c r="Q95" s="27">
        <f t="shared" si="12"/>
        <v>0</v>
      </c>
      <c r="R95" s="27">
        <f t="shared" si="13"/>
        <v>0</v>
      </c>
      <c r="S95" s="27">
        <f t="shared" si="14"/>
        <v>0</v>
      </c>
      <c r="T95" s="27">
        <f t="shared" si="15"/>
        <v>0</v>
      </c>
      <c r="U95" s="27">
        <f t="shared" si="16"/>
        <v>0</v>
      </c>
      <c r="V95" s="27">
        <f t="shared" si="17"/>
        <v>0</v>
      </c>
      <c r="W95" s="27">
        <f t="shared" si="18"/>
        <v>0</v>
      </c>
      <c r="X95" s="27">
        <f t="shared" si="19"/>
        <v>0</v>
      </c>
      <c r="Y95" s="27">
        <f t="shared" si="20"/>
        <v>541</v>
      </c>
      <c r="Z95" s="27">
        <f t="shared" si="21"/>
        <v>541</v>
      </c>
      <c r="AA95" s="27">
        <f t="shared" si="22"/>
        <v>541.0024546</v>
      </c>
      <c r="AB95" s="27">
        <f t="shared" si="23"/>
        <v>541.0073585</v>
      </c>
      <c r="AC95" s="27">
        <f t="shared" si="24"/>
        <v>541.0147066</v>
      </c>
    </row>
    <row r="96">
      <c r="C96" s="83">
        <f t="shared" ref="C96:D96" si="26">SUM(C2:C95)</f>
        <v>1488920</v>
      </c>
      <c r="D96" s="83">
        <f t="shared" si="26"/>
        <v>1527510</v>
      </c>
      <c r="E96" s="27"/>
      <c r="F96" s="27"/>
      <c r="G96" s="32"/>
      <c r="H96" s="83">
        <f t="shared" ref="H96:I96" si="27">SUM(H2:H95)</f>
        <v>1587707</v>
      </c>
      <c r="I96" s="83">
        <f t="shared" si="27"/>
        <v>1588376</v>
      </c>
      <c r="J96" s="27"/>
      <c r="K96" s="27"/>
      <c r="L96" s="27"/>
      <c r="M96" s="27">
        <f t="shared" si="9"/>
        <v>1527510</v>
      </c>
      <c r="N96" s="83">
        <f t="shared" ref="N96:Y96" si="28">SUM(N2:N95)</f>
        <v>1524256.318</v>
      </c>
      <c r="O96" s="83">
        <f t="shared" si="28"/>
        <v>1521009.567</v>
      </c>
      <c r="P96" s="83">
        <f t="shared" si="28"/>
        <v>1517769.731</v>
      </c>
      <c r="Q96" s="83">
        <f t="shared" si="28"/>
        <v>1514536.797</v>
      </c>
      <c r="R96" s="83">
        <f t="shared" si="28"/>
        <v>1511310.748</v>
      </c>
      <c r="S96" s="83">
        <f t="shared" si="28"/>
        <v>1508091.572</v>
      </c>
      <c r="T96" s="83">
        <f t="shared" si="28"/>
        <v>1504879.252</v>
      </c>
      <c r="U96" s="83">
        <f t="shared" si="28"/>
        <v>1501673.775</v>
      </c>
      <c r="V96" s="83">
        <f t="shared" si="28"/>
        <v>1498475.126</v>
      </c>
      <c r="W96" s="83">
        <f t="shared" si="28"/>
        <v>1495283.29</v>
      </c>
      <c r="X96" s="83">
        <f t="shared" si="28"/>
        <v>1492098.253</v>
      </c>
      <c r="Y96" s="83">
        <f t="shared" si="28"/>
        <v>1488920</v>
      </c>
      <c r="Z96" s="84">
        <f t="shared" si="21"/>
        <v>1488920</v>
      </c>
      <c r="AA96" s="83">
        <f t="shared" ref="AA96:AC96" si="29">SUM(AA2:AA95)</f>
        <v>1484926.551</v>
      </c>
      <c r="AB96" s="83">
        <f t="shared" si="29"/>
        <v>1482939.945</v>
      </c>
      <c r="AC96" s="83">
        <f t="shared" si="29"/>
        <v>1480960.067</v>
      </c>
    </row>
    <row r="97">
      <c r="D97" s="24"/>
      <c r="E97" s="24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>
      <c r="D98" s="24"/>
      <c r="E98" s="24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>
      <c r="D99" s="24"/>
      <c r="E99" s="24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>
      <c r="D100" s="24"/>
      <c r="E100" s="24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>
      <c r="D101" s="24"/>
      <c r="E101" s="24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>
      <c r="D102" s="24"/>
      <c r="E102" s="24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>
      <c r="D103" s="24"/>
      <c r="E103" s="24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>
      <c r="D104" s="24"/>
      <c r="E104" s="24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>
      <c r="D105" s="24"/>
      <c r="E105" s="24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>
      <c r="D106" s="24"/>
      <c r="E106" s="24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>
      <c r="D107" s="24"/>
      <c r="E107" s="24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>
      <c r="D108" s="24"/>
      <c r="E108" s="24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>
      <c r="D109" s="24"/>
      <c r="E109" s="24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>
      <c r="D110" s="24"/>
      <c r="E110" s="24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>
      <c r="D111" s="24"/>
      <c r="E111" s="24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>
      <c r="D112" s="24"/>
      <c r="E112" s="24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>
      <c r="D113" s="24"/>
      <c r="E113" s="24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>
      <c r="D114" s="24"/>
      <c r="E114" s="24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>
      <c r="D115" s="24"/>
      <c r="E115" s="24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>
      <c r="D116" s="24"/>
      <c r="E116" s="24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>
      <c r="D117" s="24"/>
      <c r="E117" s="24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>
      <c r="D118" s="24"/>
      <c r="E118" s="24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>
      <c r="D119" s="24"/>
      <c r="E119" s="24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>
      <c r="D120" s="24"/>
      <c r="E120" s="24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>
      <c r="D121" s="24"/>
      <c r="E121" s="24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>
      <c r="D122" s="24"/>
      <c r="E122" s="24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>
      <c r="D123" s="24"/>
      <c r="E123" s="24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>
      <c r="D124" s="24"/>
      <c r="E124" s="24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>
      <c r="D125" s="24"/>
      <c r="E125" s="24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>
      <c r="D126" s="24"/>
      <c r="E126" s="24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>
      <c r="D127" s="24"/>
      <c r="E127" s="24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>
      <c r="D128" s="24"/>
      <c r="E128" s="24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>
      <c r="D129" s="24"/>
      <c r="E129" s="24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>
      <c r="D130" s="24"/>
      <c r="E130" s="24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>
      <c r="D131" s="24"/>
      <c r="E131" s="24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>
      <c r="D132" s="24"/>
      <c r="E132" s="24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>
      <c r="D133" s="24"/>
      <c r="E133" s="24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>
      <c r="D134" s="24"/>
      <c r="E134" s="24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>
      <c r="D135" s="24"/>
      <c r="E135" s="24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>
      <c r="D136" s="24"/>
      <c r="E136" s="24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>
      <c r="D137" s="24"/>
      <c r="E137" s="24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>
      <c r="D138" s="24"/>
      <c r="E138" s="24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>
      <c r="D139" s="24"/>
      <c r="E139" s="24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>
      <c r="D140" s="24"/>
      <c r="E140" s="24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>
      <c r="D141" s="24"/>
      <c r="E141" s="24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>
      <c r="D142" s="24"/>
      <c r="E142" s="24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>
      <c r="D143" s="24"/>
      <c r="E143" s="24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>
      <c r="D144" s="24"/>
      <c r="E144" s="24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>
      <c r="D145" s="24"/>
      <c r="E145" s="24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>
      <c r="D146" s="24"/>
      <c r="E146" s="24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>
      <c r="D147" s="24"/>
      <c r="E147" s="24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>
      <c r="D148" s="24"/>
      <c r="E148" s="24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>
      <c r="D149" s="24"/>
      <c r="E149" s="24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>
      <c r="D150" s="24"/>
      <c r="E150" s="24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>
      <c r="D151" s="24"/>
      <c r="E151" s="24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>
      <c r="D152" s="24"/>
      <c r="E152" s="24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>
      <c r="D153" s="24"/>
      <c r="E153" s="24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>
      <c r="D154" s="24"/>
      <c r="E154" s="24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>
      <c r="D155" s="24"/>
      <c r="E155" s="24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>
      <c r="D156" s="24"/>
      <c r="E156" s="24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>
      <c r="D157" s="24"/>
      <c r="E157" s="24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>
      <c r="D158" s="24"/>
      <c r="E158" s="24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>
      <c r="D159" s="24"/>
      <c r="E159" s="24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>
      <c r="D160" s="24"/>
      <c r="E160" s="24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>
      <c r="D161" s="24"/>
      <c r="E161" s="24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>
      <c r="D162" s="24"/>
      <c r="E162" s="24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>
      <c r="D163" s="24"/>
      <c r="E163" s="24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>
      <c r="D164" s="24"/>
      <c r="E164" s="24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>
      <c r="D165" s="24"/>
      <c r="E165" s="24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>
      <c r="D166" s="24"/>
      <c r="E166" s="24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>
      <c r="D167" s="24"/>
      <c r="E167" s="24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>
      <c r="D168" s="24"/>
      <c r="E168" s="24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>
      <c r="D169" s="24"/>
      <c r="E169" s="24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>
      <c r="D170" s="24"/>
      <c r="E170" s="24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>
      <c r="D171" s="24"/>
      <c r="E171" s="24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>
      <c r="D172" s="24"/>
      <c r="E172" s="24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>
      <c r="D173" s="24"/>
      <c r="E173" s="24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>
      <c r="D174" s="24"/>
      <c r="E174" s="24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>
      <c r="D175" s="24"/>
      <c r="E175" s="24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>
      <c r="D176" s="24"/>
      <c r="E176" s="24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>
      <c r="D177" s="24"/>
      <c r="E177" s="24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>
      <c r="D178" s="24"/>
      <c r="E178" s="24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>
      <c r="D179" s="24"/>
      <c r="E179" s="24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>
      <c r="D180" s="24"/>
      <c r="E180" s="24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>
      <c r="D181" s="24"/>
      <c r="E181" s="24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>
      <c r="D182" s="24"/>
      <c r="E182" s="24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>
      <c r="D183" s="24"/>
      <c r="E183" s="24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>
      <c r="D184" s="24"/>
      <c r="E184" s="24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>
      <c r="D185" s="24"/>
      <c r="E185" s="24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>
      <c r="D186" s="24"/>
      <c r="E186" s="24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>
      <c r="D187" s="24"/>
      <c r="E187" s="24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>
      <c r="D188" s="24"/>
      <c r="E188" s="24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>
      <c r="D189" s="24"/>
      <c r="E189" s="24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>
      <c r="D190" s="24"/>
      <c r="E190" s="24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>
      <c r="D191" s="24"/>
      <c r="E191" s="24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>
      <c r="D192" s="24"/>
      <c r="E192" s="24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>
      <c r="D193" s="24"/>
      <c r="E193" s="24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</row>
    <row r="194">
      <c r="D194" s="24"/>
      <c r="E194" s="24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>
      <c r="D195" s="24"/>
      <c r="E195" s="24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>
      <c r="D196" s="24"/>
      <c r="E196" s="24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>
      <c r="D197" s="24"/>
      <c r="E197" s="24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>
      <c r="D198" s="24"/>
      <c r="E198" s="24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>
      <c r="D199" s="24"/>
      <c r="E199" s="24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>
      <c r="D200" s="24"/>
      <c r="E200" s="24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>
      <c r="D201" s="24"/>
      <c r="E201" s="24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>
      <c r="D202" s="24"/>
      <c r="E202" s="24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>
      <c r="D203" s="24"/>
      <c r="E203" s="24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>
      <c r="D204" s="24"/>
      <c r="E204" s="24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>
      <c r="D205" s="24"/>
      <c r="E205" s="24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>
      <c r="D206" s="24"/>
      <c r="E206" s="24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>
      <c r="D207" s="24"/>
      <c r="E207" s="24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>
      <c r="D208" s="24"/>
      <c r="E208" s="24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</row>
    <row r="209">
      <c r="D209" s="24"/>
      <c r="E209" s="24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</row>
    <row r="210">
      <c r="D210" s="24"/>
      <c r="E210" s="24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</row>
    <row r="211">
      <c r="D211" s="24"/>
      <c r="E211" s="24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</row>
    <row r="212">
      <c r="D212" s="24"/>
      <c r="E212" s="24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</row>
    <row r="213">
      <c r="D213" s="24"/>
      <c r="E213" s="24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</row>
    <row r="214">
      <c r="D214" s="24"/>
      <c r="E214" s="24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>
      <c r="D215" s="24"/>
      <c r="E215" s="24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>
      <c r="D216" s="24"/>
      <c r="E216" s="24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>
      <c r="D217" s="24"/>
      <c r="E217" s="24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>
      <c r="D218" s="24"/>
      <c r="E218" s="24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</row>
    <row r="219">
      <c r="D219" s="24"/>
      <c r="E219" s="24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</row>
    <row r="220">
      <c r="D220" s="24"/>
      <c r="E220" s="24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>
      <c r="D221" s="24"/>
      <c r="E221" s="24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>
      <c r="D222" s="24"/>
      <c r="E222" s="24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>
      <c r="D223" s="24"/>
      <c r="E223" s="24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>
      <c r="D224" s="24"/>
      <c r="E224" s="24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>
      <c r="D225" s="24"/>
      <c r="E225" s="24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>
      <c r="D226" s="24"/>
      <c r="E226" s="24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>
      <c r="D227" s="24"/>
      <c r="E227" s="24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>
      <c r="D228" s="24"/>
      <c r="E228" s="24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>
      <c r="D229" s="24"/>
      <c r="E229" s="24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>
      <c r="D230" s="24"/>
      <c r="E230" s="24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>
      <c r="D231" s="24"/>
      <c r="E231" s="24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>
      <c r="D232" s="24"/>
      <c r="E232" s="24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</row>
    <row r="233">
      <c r="D233" s="24"/>
      <c r="E233" s="24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</row>
    <row r="234">
      <c r="D234" s="24"/>
      <c r="E234" s="24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</row>
    <row r="235">
      <c r="D235" s="24"/>
      <c r="E235" s="24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</row>
    <row r="236">
      <c r="D236" s="24"/>
      <c r="E236" s="24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</row>
    <row r="237">
      <c r="D237" s="24"/>
      <c r="E237" s="24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</row>
    <row r="238">
      <c r="D238" s="24"/>
      <c r="E238" s="24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>
      <c r="D239" s="24"/>
      <c r="E239" s="24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>
      <c r="D240" s="24"/>
      <c r="E240" s="24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</row>
    <row r="241">
      <c r="D241" s="24"/>
      <c r="E241" s="24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</row>
    <row r="242">
      <c r="D242" s="24"/>
      <c r="E242" s="24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</row>
    <row r="243">
      <c r="D243" s="24"/>
      <c r="E243" s="24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>
      <c r="D244" s="24"/>
      <c r="E244" s="24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>
      <c r="D245" s="24"/>
      <c r="E245" s="24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</row>
    <row r="246">
      <c r="D246" s="24"/>
      <c r="E246" s="24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>
      <c r="D247" s="24"/>
      <c r="E247" s="24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>
      <c r="D248" s="24"/>
      <c r="E248" s="24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>
      <c r="D249" s="24"/>
      <c r="E249" s="24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>
      <c r="D250" s="24"/>
      <c r="E250" s="24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>
      <c r="D251" s="24"/>
      <c r="E251" s="24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>
      <c r="D252" s="24"/>
      <c r="E252" s="24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>
      <c r="D253" s="24"/>
      <c r="E253" s="24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>
      <c r="D254" s="24"/>
      <c r="E254" s="24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>
      <c r="D255" s="24"/>
      <c r="E255" s="24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>
      <c r="D256" s="24"/>
      <c r="E256" s="24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</row>
    <row r="257">
      <c r="D257" s="24"/>
      <c r="E257" s="24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</row>
    <row r="258">
      <c r="D258" s="24"/>
      <c r="E258" s="24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</row>
    <row r="259">
      <c r="D259" s="24"/>
      <c r="E259" s="24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</row>
    <row r="260">
      <c r="D260" s="24"/>
      <c r="E260" s="24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</row>
    <row r="261">
      <c r="D261" s="24"/>
      <c r="E261" s="24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</row>
    <row r="262">
      <c r="D262" s="24"/>
      <c r="E262" s="24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</row>
    <row r="263">
      <c r="D263" s="24"/>
      <c r="E263" s="24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</row>
    <row r="264">
      <c r="D264" s="24"/>
      <c r="E264" s="24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>
      <c r="D265" s="24"/>
      <c r="E265" s="24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</row>
    <row r="266">
      <c r="D266" s="24"/>
      <c r="E266" s="24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</row>
    <row r="267">
      <c r="D267" s="24"/>
      <c r="E267" s="24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>
      <c r="D268" s="24"/>
      <c r="E268" s="24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>
      <c r="D269" s="24"/>
      <c r="E269" s="24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>
      <c r="D270" s="24"/>
      <c r="E270" s="24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</row>
    <row r="271">
      <c r="D271" s="24"/>
      <c r="E271" s="24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>
      <c r="D272" s="24"/>
      <c r="E272" s="24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>
      <c r="D273" s="24"/>
      <c r="E273" s="24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>
      <c r="D274" s="24"/>
      <c r="E274" s="24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>
      <c r="D275" s="24"/>
      <c r="E275" s="24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>
      <c r="D276" s="24"/>
      <c r="E276" s="24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>
      <c r="D277" s="24"/>
      <c r="E277" s="24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>
      <c r="D278" s="24"/>
      <c r="E278" s="24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>
      <c r="D279" s="24"/>
      <c r="E279" s="24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>
      <c r="D280" s="24"/>
      <c r="E280" s="24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</row>
    <row r="281">
      <c r="D281" s="24"/>
      <c r="E281" s="24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</row>
    <row r="282">
      <c r="D282" s="24"/>
      <c r="E282" s="24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</row>
    <row r="283">
      <c r="D283" s="24"/>
      <c r="E283" s="24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</row>
    <row r="284">
      <c r="D284" s="24"/>
      <c r="E284" s="24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</row>
    <row r="285">
      <c r="D285" s="24"/>
      <c r="E285" s="24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</row>
    <row r="286">
      <c r="D286" s="24"/>
      <c r="E286" s="24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</row>
    <row r="287">
      <c r="D287" s="24"/>
      <c r="E287" s="24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</row>
    <row r="288">
      <c r="D288" s="24"/>
      <c r="E288" s="24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</row>
    <row r="289">
      <c r="D289" s="24"/>
      <c r="E289" s="24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</row>
    <row r="290">
      <c r="D290" s="24"/>
      <c r="E290" s="24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</row>
    <row r="291">
      <c r="D291" s="24"/>
      <c r="E291" s="24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</row>
    <row r="292">
      <c r="D292" s="24"/>
      <c r="E292" s="24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</row>
    <row r="293">
      <c r="D293" s="24"/>
      <c r="E293" s="24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</row>
    <row r="294">
      <c r="D294" s="24"/>
      <c r="E294" s="24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</row>
    <row r="295">
      <c r="D295" s="24"/>
      <c r="E295" s="24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</row>
    <row r="296">
      <c r="D296" s="24"/>
      <c r="E296" s="24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</row>
    <row r="297"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</row>
    <row r="298"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</row>
    <row r="299"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</row>
    <row r="300"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</row>
    <row r="303"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</row>
    <row r="304"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</row>
    <row r="305"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</row>
    <row r="306"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</row>
    <row r="307"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</row>
    <row r="308"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</row>
    <row r="309"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</row>
    <row r="310"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</row>
    <row r="311"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</row>
    <row r="312"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</row>
    <row r="313"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</row>
    <row r="314"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</row>
    <row r="315"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</row>
    <row r="316"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</row>
    <row r="317"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</row>
    <row r="318"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</row>
    <row r="319"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</row>
    <row r="320"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</row>
    <row r="321"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</row>
    <row r="323"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</row>
    <row r="329"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</row>
    <row r="330"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</row>
    <row r="331"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</row>
    <row r="334"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</row>
    <row r="335"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</row>
    <row r="336"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</row>
    <row r="337"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</row>
    <row r="338"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</row>
    <row r="339"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</row>
    <row r="349"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</row>
    <row r="353"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</row>
    <row r="354"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</row>
    <row r="357"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</row>
    <row r="358"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</row>
    <row r="359"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</row>
    <row r="360"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</row>
    <row r="361"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</row>
    <row r="362"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</row>
    <row r="363"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</row>
    <row r="375"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</row>
    <row r="377"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</row>
    <row r="378"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</row>
    <row r="379"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</row>
    <row r="380"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</row>
    <row r="381"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</row>
    <row r="382"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</row>
    <row r="383"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</row>
    <row r="384"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</row>
    <row r="385"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</row>
    <row r="386"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</row>
    <row r="387"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</row>
    <row r="401"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</row>
    <row r="402"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</row>
    <row r="405"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</row>
    <row r="406"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</row>
    <row r="407"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</row>
    <row r="408"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</row>
    <row r="409"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</row>
    <row r="410"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</row>
    <row r="411"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</row>
    <row r="425"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</row>
    <row r="426"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</row>
    <row r="427"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</row>
    <row r="428"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</row>
    <row r="429"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</row>
    <row r="430"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</row>
    <row r="431"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</row>
    <row r="432"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</row>
    <row r="433"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</row>
    <row r="434"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</row>
    <row r="435"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</row>
    <row r="436"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</row>
    <row r="437"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</row>
    <row r="438"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</row>
    <row r="439"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</row>
    <row r="441"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</row>
    <row r="442"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</row>
    <row r="443"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</row>
    <row r="444"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</row>
    <row r="445"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</row>
    <row r="446"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</row>
    <row r="447"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</row>
    <row r="448"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</row>
    <row r="449"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</row>
    <row r="451"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</row>
    <row r="452"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</row>
    <row r="453"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</row>
    <row r="454"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</row>
    <row r="455"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</row>
    <row r="456"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</row>
    <row r="457"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</row>
    <row r="458"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</row>
    <row r="459"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</row>
    <row r="462"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</row>
    <row r="463"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</row>
    <row r="464"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</row>
    <row r="465"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</row>
    <row r="466"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</row>
    <row r="467"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</row>
    <row r="468"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</row>
    <row r="469"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</row>
    <row r="470"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</row>
    <row r="471"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</row>
    <row r="472"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</row>
    <row r="473"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</row>
    <row r="474"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</row>
    <row r="475"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</row>
    <row r="476"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</row>
    <row r="477"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</row>
    <row r="478"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</row>
    <row r="479"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</row>
    <row r="480"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</row>
    <row r="481"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</row>
    <row r="482"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</row>
    <row r="483"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</row>
    <row r="484"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</row>
    <row r="485"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</row>
    <row r="486"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</row>
    <row r="487"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</row>
    <row r="488"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</row>
    <row r="489"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</row>
    <row r="490"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</row>
    <row r="491"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</row>
    <row r="492"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</row>
    <row r="493"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</row>
    <row r="494"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</row>
    <row r="495"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</row>
    <row r="496"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</row>
    <row r="497"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</row>
    <row r="498"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</row>
    <row r="499"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</row>
    <row r="500"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</row>
    <row r="501"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</row>
    <row r="502"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</row>
    <row r="503"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</row>
    <row r="504"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</row>
    <row r="505"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</row>
    <row r="506"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</row>
    <row r="507"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</row>
    <row r="508"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</row>
    <row r="509"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</row>
    <row r="510"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</row>
    <row r="511"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</row>
    <row r="512"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</row>
    <row r="513"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</row>
    <row r="514"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</row>
    <row r="515"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</row>
    <row r="516"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</row>
    <row r="517"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</row>
    <row r="518"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</row>
    <row r="519"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</row>
    <row r="520"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</row>
    <row r="521"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</row>
    <row r="522"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</row>
    <row r="523"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</row>
    <row r="525"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</row>
    <row r="526"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</row>
    <row r="527"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</row>
    <row r="528"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</row>
    <row r="529"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</row>
    <row r="530"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</row>
    <row r="532"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</row>
    <row r="533"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</row>
    <row r="534"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</row>
    <row r="535"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</row>
    <row r="536"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</row>
    <row r="537"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</row>
    <row r="540"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</row>
    <row r="541"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</row>
    <row r="542"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</row>
    <row r="543"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</row>
    <row r="544"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</row>
    <row r="545"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</row>
    <row r="546"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</row>
    <row r="547"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</row>
    <row r="549"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</row>
    <row r="550"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</row>
    <row r="551"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</row>
    <row r="552"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</row>
    <row r="553"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</row>
    <row r="554"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</row>
    <row r="555"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</row>
    <row r="556"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</row>
    <row r="557"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</row>
    <row r="558"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</row>
    <row r="559"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</row>
    <row r="560"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</row>
    <row r="561"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</row>
    <row r="562"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</row>
    <row r="563"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</row>
    <row r="565"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</row>
    <row r="566"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</row>
    <row r="567"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</row>
    <row r="568"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</row>
    <row r="569"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</row>
    <row r="570"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</row>
    <row r="571"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</row>
    <row r="572"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</row>
    <row r="573"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</row>
    <row r="575"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</row>
    <row r="576"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</row>
    <row r="577"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</row>
    <row r="578"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</row>
    <row r="579"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</row>
    <row r="580"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</row>
    <row r="581"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</row>
    <row r="582"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</row>
    <row r="583"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</row>
    <row r="584"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</row>
    <row r="585"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</row>
    <row r="586"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</row>
    <row r="587"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</row>
    <row r="590"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</row>
    <row r="591"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</row>
    <row r="592"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</row>
    <row r="593"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</row>
    <row r="594"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</row>
    <row r="596"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</row>
    <row r="597"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</row>
    <row r="598"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</row>
    <row r="599"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</row>
    <row r="600"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</row>
    <row r="601"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</row>
    <row r="602"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</row>
    <row r="603"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</row>
    <row r="604"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</row>
    <row r="605"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</row>
    <row r="606"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</row>
    <row r="607"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</row>
    <row r="608"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</row>
    <row r="609"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</row>
    <row r="610"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</row>
    <row r="611"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</row>
    <row r="612"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</row>
    <row r="613"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</row>
    <row r="614"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</row>
    <row r="615"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</row>
    <row r="616"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</row>
    <row r="617"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</row>
    <row r="618"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</row>
    <row r="619"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</row>
    <row r="620"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</row>
    <row r="621"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</row>
    <row r="622"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</row>
    <row r="623"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</row>
    <row r="624"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</row>
    <row r="625"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</row>
    <row r="626"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</row>
    <row r="627"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</row>
    <row r="628"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</row>
    <row r="631"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</row>
    <row r="632"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</row>
    <row r="633"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</row>
    <row r="634"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</row>
    <row r="635"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</row>
    <row r="638"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</row>
    <row r="639"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</row>
    <row r="640"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</row>
    <row r="641"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</row>
    <row r="642"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</row>
    <row r="644"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</row>
    <row r="645"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</row>
    <row r="646"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</row>
    <row r="647"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</row>
    <row r="648"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</row>
    <row r="649"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</row>
    <row r="650"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</row>
    <row r="651"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</row>
    <row r="652"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</row>
    <row r="653"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</row>
    <row r="654"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</row>
    <row r="655"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</row>
    <row r="656"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</row>
    <row r="657"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</row>
    <row r="658"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</row>
    <row r="659"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</row>
    <row r="660"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</row>
    <row r="661"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</row>
    <row r="664"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</row>
    <row r="665"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</row>
    <row r="666"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</row>
    <row r="667"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</row>
    <row r="668"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</row>
    <row r="669"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</row>
    <row r="670"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</row>
    <row r="671"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</row>
    <row r="672"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</row>
    <row r="673"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</row>
    <row r="674"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</row>
    <row r="675"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</row>
    <row r="676"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</row>
    <row r="677"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</row>
    <row r="678"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</row>
    <row r="679"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</row>
    <row r="680"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</row>
    <row r="681"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</row>
    <row r="682"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</row>
    <row r="683"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</row>
    <row r="684"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</row>
    <row r="689"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</row>
    <row r="690"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</row>
    <row r="691"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</row>
    <row r="692"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</row>
    <row r="693"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</row>
    <row r="694"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</row>
    <row r="744"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</row>
    <row r="769"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</row>
    <row r="794"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  <row r="817"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</row>
    <row r="818"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</row>
    <row r="820"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</row>
    <row r="821"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</row>
    <row r="822"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</row>
    <row r="823"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</row>
    <row r="824"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</row>
    <row r="825"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</row>
    <row r="826"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</row>
    <row r="827"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</row>
    <row r="828"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</row>
    <row r="830"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</row>
    <row r="831"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</row>
    <row r="832"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</row>
    <row r="833"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</row>
    <row r="834"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</row>
    <row r="835"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</row>
    <row r="836"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</row>
    <row r="837"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</row>
    <row r="838"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</row>
    <row r="839"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</row>
    <row r="840"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</row>
    <row r="841"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</row>
    <row r="842"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</row>
    <row r="843"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</row>
    <row r="844"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</row>
    <row r="845"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</row>
    <row r="846"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</row>
    <row r="847"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</row>
    <row r="848"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</row>
    <row r="849"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</row>
    <row r="850"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</row>
    <row r="851"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</row>
    <row r="852"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</row>
    <row r="853"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</row>
    <row r="854"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</row>
    <row r="855"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</row>
    <row r="856"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</row>
    <row r="857"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</row>
    <row r="858"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</row>
    <row r="860"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</row>
    <row r="861"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</row>
    <row r="862"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</row>
    <row r="863"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</row>
    <row r="864"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</row>
    <row r="865"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</row>
    <row r="866"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</row>
    <row r="867"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</row>
    <row r="869"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</row>
    <row r="870"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</row>
    <row r="871"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</row>
    <row r="872"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</row>
    <row r="873"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</row>
    <row r="874"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</row>
    <row r="875"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</row>
    <row r="876"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</row>
    <row r="878"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</row>
    <row r="879"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</row>
    <row r="880"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</row>
    <row r="881"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</row>
    <row r="882"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</row>
    <row r="883"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</row>
    <row r="884"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</row>
    <row r="885"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</row>
    <row r="886"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</row>
    <row r="887"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</row>
    <row r="888"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</row>
    <row r="889"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</row>
    <row r="890"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</row>
    <row r="891"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</row>
    <row r="892"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</row>
    <row r="894"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</row>
    <row r="895"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</row>
    <row r="896"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</row>
    <row r="897"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</row>
    <row r="898"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</row>
    <row r="899"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</row>
    <row r="900"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</row>
    <row r="901"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</row>
    <row r="902"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</row>
    <row r="903"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</row>
    <row r="904"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</row>
    <row r="905"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</row>
    <row r="906"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</row>
    <row r="907"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</row>
    <row r="908"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</row>
    <row r="909"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</row>
    <row r="910"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</row>
    <row r="911"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</row>
    <row r="912"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</row>
    <row r="913"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</row>
    <row r="914"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</row>
    <row r="915"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</row>
    <row r="916"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</row>
    <row r="917"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</row>
    <row r="918"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</row>
    <row r="919"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</row>
    <row r="920"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</row>
    <row r="921"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</row>
    <row r="922"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</row>
    <row r="923"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</row>
    <row r="924"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</row>
    <row r="926"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</row>
    <row r="927"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</row>
    <row r="928"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</row>
    <row r="929"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</row>
    <row r="930"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</row>
    <row r="931"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</row>
    <row r="932"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</row>
    <row r="933"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</row>
    <row r="934"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</row>
    <row r="935"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</row>
    <row r="936"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</row>
    <row r="938"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</row>
    <row r="939"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</row>
    <row r="940"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</row>
    <row r="941"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</row>
    <row r="942"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</row>
    <row r="943"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</row>
    <row r="944"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</row>
    <row r="945"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</row>
    <row r="946"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</row>
    <row r="947"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</row>
    <row r="948"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</row>
    <row r="949"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</row>
    <row r="950"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</row>
    <row r="951"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</row>
    <row r="952"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</row>
    <row r="953"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</row>
    <row r="954"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</row>
    <row r="955"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</row>
    <row r="956"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</row>
    <row r="957"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</row>
    <row r="958"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</row>
    <row r="959"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</row>
    <row r="960"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</row>
    <row r="961"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</row>
    <row r="962"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</row>
    <row r="963"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</row>
    <row r="964"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</row>
    <row r="965"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</row>
    <row r="966"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</row>
    <row r="967"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</row>
    <row r="968"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</row>
    <row r="969"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</row>
    <row r="970"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</row>
    <row r="971"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</row>
    <row r="972"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</row>
    <row r="975"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</row>
    <row r="976"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</row>
    <row r="977"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</row>
    <row r="978"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</row>
    <row r="979"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</row>
    <row r="980"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</row>
    <row r="981"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</row>
    <row r="982"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</row>
    <row r="983"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</row>
    <row r="984"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</row>
    <row r="986"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</row>
    <row r="987"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</row>
    <row r="988"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</row>
    <row r="989"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</row>
    <row r="990"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</row>
    <row r="991"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</row>
    <row r="992"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</row>
    <row r="993"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</row>
    <row r="994"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</row>
    <row r="996"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</row>
    <row r="997"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</row>
    <row r="998"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</row>
    <row r="999"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</row>
    <row r="1000"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2026-02-04T12:38:10Z</dcterms:created>
  <dc:creator>Ivanildo Batista da Silva Junior</dc:creator>
</cp:coreProperties>
</file>